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SRsr/Desktop/deftbrain/audit/"/>
    </mc:Choice>
  </mc:AlternateContent>
  <xr:revisionPtr revIDLastSave="0" documentId="13_ncr:1_{F240C94B-98BB-E447-9FE6-A8D92451B057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ubmissions" sheetId="1" r:id="rId1"/>
    <sheet name="AlternativeTo tags" sheetId="2" r:id="rId2"/>
    <sheet name="Progress &amp; notes" sheetId="3" r:id="rId3"/>
    <sheet name="Tags &amp; copy" sheetId="4" r:id="rId4"/>
  </sheets>
  <definedNames>
    <definedName name="_xlnm._FilterDatabase" localSheetId="1" hidden="1">'AlternativeTo tags'!$A$1:$C$17</definedName>
    <definedName name="_xlnm._FilterDatabase" localSheetId="0" hidden="1">Submissions!$B$1:$K$36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</calcChain>
</file>

<file path=xl/sharedStrings.xml><?xml version="1.0" encoding="utf-8"?>
<sst xmlns="http://schemas.openxmlformats.org/spreadsheetml/2006/main" count="446" uniqueCount="321">
  <si>
    <t>Do #</t>
  </si>
  <si>
    <t>Site</t>
  </si>
  <si>
    <t>Verdict</t>
  </si>
  <si>
    <t>Free path?</t>
  </si>
  <si>
    <t>Price</t>
  </si>
  <si>
    <t>Link value</t>
  </si>
  <si>
    <t>Effort</t>
  </si>
  <si>
    <t>Why / what to know</t>
  </si>
  <si>
    <t>My status</t>
  </si>
  <si>
    <t>URL</t>
  </si>
  <si>
    <t>llms.txt Directory</t>
  </si>
  <si>
    <t>DO</t>
  </si>
  <si>
    <t>Yes — Tally form</t>
  </si>
  <si>
    <t>Free</t>
  </si>
  <si>
    <t>Directory listing</t>
  </si>
  <si>
    <t>10 min</t>
  </si>
  <si>
    <t>Cheapest win here. llms.txt already shipped (commit 5f86279f), so this is just the form. 1,600+ entries; the directory every "AI SEO" writeup cites.</t>
  </si>
  <si>
    <t>todo</t>
  </si>
  <si>
    <t>directory.llmstxt.cloud</t>
  </si>
  <si>
    <t>IndexNow + Bing Webmaster</t>
  </si>
  <si>
    <t>Yes — ALREADY SHIPPED</t>
  </si>
  <si>
    <t>n/a — indexing, not a link</t>
  </si>
  <si>
    <t>done</t>
  </si>
  <si>
    <t>ALREADY LIVE (not a todo): scripts/indexnow.js runs on every production build and the key file is verified live at deftbrain.com. Fixed 2026-07-29 (commit 12b09fbc) — it used to submit all 125 tool URLs every deploy including the ~88 noindexed ones; now submits only changed + keep-list URLs, driven by sitemap-lastmod.json hashes and the guides sitemap. INDEXNOW_ALL=1 forces a full resubmit after structural changes. REMAINING MANUAL STEP: verify the site in Bing Webmaster Tools (bing.com/webmasters) — that is the half Claude cannot do, and it unlocks the crawl-stats view.</t>
  </si>
  <si>
    <t>live</t>
  </si>
  <si>
    <t>indexnow.org</t>
  </si>
  <si>
    <t>aitoolsdirectory.com</t>
  </si>
  <si>
    <t>Yes — free organic queue (manual review, slow, no guarantee)</t>
  </si>
  <si>
    <t>Free; $99 Fast Track optional</t>
  </si>
  <si>
    <t>DOFOLLOW (verified — direct link, no cloaking)</t>
  </si>
  <si>
    <t>20 min</t>
  </si>
  <si>
    <t>The ONLY free path here with genuine link equity. Consumer-oriented by policy. Two rules: description must be unique + HUMAN-WRITTEN (AI-written copy is discarded), and pricing must be transparent.</t>
  </si>
  <si>
    <t>aitoolsdirectory.com/submit-tool</t>
  </si>
  <si>
    <t>AlternativeTo</t>
  </si>
  <si>
    <t>SKIP</t>
  </si>
  <si>
    <t>REJECTED — category banned</t>
  </si>
  <si>
    <t>—</t>
  </si>
  <si>
    <t>REJECTED 2026-07-29. Their FAQ bans the category outright: "collections of online tools, AI wrappers for LLMs…". Not a copy problem — there is no resubmission path for the umbrella, and re-submitting individual tools hits the same rule and risks the account. The alternative-to FRAMING still pays off elsewhere: SaaSHub alternatives tags (live, dofollow), Show HN / PH copy, and on-site comparison guides we fully control.</t>
  </si>
  <si>
    <t>skip</t>
  </si>
  <si>
    <t>alternativeto.net</t>
  </si>
  <si>
    <t>Launching Next</t>
  </si>
  <si>
    <t>Yes — form live</t>
  </si>
  <si>
    <t>Free; $99 optional 1-day review</t>
  </si>
  <si>
    <t>Listing</t>
  </si>
  <si>
    <t>15 min</t>
  </si>
  <si>
    <t>Running since 2013, 45k+ listings, aged domain, permanent listing page. Category explicitly includes "a side project". No badge, no reciprocal link, no queue games.</t>
  </si>
  <si>
    <t>launchingnext.com/submit/</t>
  </si>
  <si>
    <t>Tiny Startups</t>
  </si>
  <si>
    <t>Yes — "Submit a Startup — Free"</t>
  </si>
  <si>
    <t>Claims DR 70 backlink (self-reported)</t>
  </si>
  <si>
    <t>Weekly leaderboard, 20k+ early adopters. Listings are genuinely consumer-mixed (budget app, kids-safety app) — not a dev-tools board.</t>
  </si>
  <si>
    <t>tinystartups.com/submit</t>
  </si>
  <si>
    <t>Uneed</t>
  </si>
  <si>
    <t>Yes — "join the line" (auto date at next slot)</t>
  </si>
  <si>
    <t>Free; $29.99 skip-the-line</t>
  </si>
  <si>
    <t>Claims DR 75 (self-reported)</t>
  </si>
  <si>
    <t>20 min + wait</t>
  </si>
  <si>
    <t>Free path costs only patience. Guaranteed homepage day. General consumer/tech board — "125 free tools, no signup" is upvote bait. Ignore every upsell on the pricing page.</t>
  </si>
  <si>
    <t>uneed.best/submit-a-tool</t>
  </si>
  <si>
    <t>FutureTools.io</t>
  </si>
  <si>
    <t>Yes, open + actively curated</t>
  </si>
  <si>
    <t>NONE — /go/ redirect is robots-Disallowed</t>
  </si>
  <si>
    <t>Zero SEO value, but still worth 10 minutes for referral traffic. Manually reviewed by Matt Wolfe; most submissions never get listed.</t>
  </si>
  <si>
    <t>futuretools.io/submit-a-tool</t>
  </si>
  <si>
    <t>Product Hunt</t>
  </si>
  <si>
    <t>Yes — self-launch, no hunter needed</t>
  </si>
  <si>
    <t>rel="ugc" (not nofollow; equity uncertain)</t>
  </si>
  <si>
    <t>Half a day</t>
  </si>
  <si>
    <t>DO THIS LAST. Highest-leverage single action — real users, real feedback; a validation event more than an SEO one. Only ~10% get homepage-featured now. Tue/Wed/Thu. Draft is ready in audit/LAUNCH-DRAFTS.md.</t>
  </si>
  <si>
    <t>producthunt.com/posts/new</t>
  </si>
  <si>
    <t>SaaSHub</t>
  </si>
  <si>
    <t>Already verified ✅</t>
  </si>
  <si>
    <t>dofollow</t>
  </si>
  <si>
    <t>30 min</t>
  </si>
  <si>
    <t>ALREADY LIVE — just needs completing: screenshots, categories, alternative-to tags, footer badge if available. Seed reviews once you have real users.</t>
  </si>
  <si>
    <t>verified — optimize</t>
  </si>
  <si>
    <t>saashub.com</t>
  </si>
  <si>
    <t>r/InternetIsBeautiful</t>
  </si>
  <si>
    <t>MAYBE</t>
  </si>
  <si>
    <t>Yes — free post</t>
  </si>
  <si>
    <t>nofollow (big referral)</t>
  </si>
  <si>
    <t>1 h</t>
  </si>
  <si>
    <t>Highest single-day traffic potential at $0, but ONE shot. Their rule bans sign-up-gated products — DeftBrain qualifies. Post ONE striking tool (Ticket Tackler or Lease Trap Detector), never "125 AI tools". Read the sidebar first.</t>
  </si>
  <si>
    <t>reddit.com/r/InternetIsBeautiful</t>
  </si>
  <si>
    <t>MicroLaunch</t>
  </si>
  <si>
    <t>Yes — free "Regular launch"</t>
  </si>
  <si>
    <t>Free; Pro $39/mo</t>
  </si>
  <si>
    <t>Claimed dofollow DR 61 (UNVERIFIED)</t>
  </si>
  <si>
    <t>Month-long ranking window rather than a 24h sprint — suits a product with no launch-day audience. Do it if Uneed goes well.</t>
  </si>
  <si>
    <t>microlaunch.net/submit</t>
  </si>
  <si>
    <t>Awesome-AITools (GitHub PR)</t>
  </si>
  <si>
    <t>Yes — pull request</t>
  </si>
  <si>
    <t>nofollow</t>
  </si>
  <si>
    <t>GitHub links are nofollow, but awesome-lists are over-represented in LLM training/retrieval corpora. Cheap; do when idle.</t>
  </si>
  <si>
    <t>github.com/ikaijua/Awesome-AITools</t>
  </si>
  <si>
    <t>Crunchbase</t>
  </si>
  <si>
    <t>Yes — free company profile</t>
  </si>
  <si>
    <t>No link equity</t>
  </si>
  <si>
    <t>Pure brand/entity citation, heavily quoted by AI answers.</t>
  </si>
  <si>
    <t>crunchbase.com</t>
  </si>
  <si>
    <t>Wikidata item</t>
  </si>
  <si>
    <t>Yes</t>
  </si>
  <si>
    <t>Entity signal</t>
  </si>
  <si>
    <t>DO THIS LATER — real deletion risk until independent coverage exists. Wait until 3-4 directory/press citations land. Then it is the cleanest entity signal an LLM can consume.</t>
  </si>
  <si>
    <t>later</t>
  </si>
  <si>
    <t>wikidata.org</t>
  </si>
  <si>
    <t>Peerlist Launchpad</t>
  </si>
  <si>
    <t>Yes — weekly Monday window</t>
  </si>
  <si>
    <t>Only top-5-of-week get a backlink</t>
  </si>
  <si>
    <t>Audience is designers/devs — weak match for "contest a parking ticket".</t>
  </si>
  <si>
    <t>peerlist.io/launchpad</t>
  </si>
  <si>
    <t>StackShare</t>
  </si>
  <si>
    <t>Yes, alive (FOSSA-owned)</t>
  </si>
  <si>
    <t>nofollow (verified)</t>
  </si>
  <si>
    <t>Free and alive, but nofollow + developer audience. Weak fit.</t>
  </si>
  <si>
    <t>stackshare.io/tools/new</t>
  </si>
  <si>
    <t>Fazier</t>
  </si>
  <si>
    <t>Yes — but requires a reciprocal backlink TO Fazier</t>
  </si>
  <si>
    <t>Free; $29-149 paid tiers</t>
  </si>
  <si>
    <t>Claims DR 82+ on paid</t>
  </si>
  <si>
    <t>The free tier costs you an outbound badge on your own site. Only if you will accept that.</t>
  </si>
  <si>
    <t>fazier.com/submit</t>
  </si>
  <si>
    <t>IndieHunt</t>
  </si>
  <si>
    <t>Yes — but nofollow only</t>
  </si>
  <si>
    <t>Free; $19 for dofollow</t>
  </si>
  <si>
    <t>nofollow unless paid</t>
  </si>
  <si>
    <t>Free tier is nofollow-only and the no-badge variant is also nofollow. $19 is the only real-link path.</t>
  </si>
  <si>
    <t>indiehunt.io/pricing</t>
  </si>
  <si>
    <t>Mr Free Tools</t>
  </si>
  <si>
    <t>No self-serve form — email pitch</t>
  </si>
  <si>
    <t>Unknown</t>
  </si>
  <si>
    <t>Purest consumer "free tools directory" found that is not an ad farm. English only. Pitch by email when idle.</t>
  </si>
  <si>
    <t>mrfreetools.com</t>
  </si>
  <si>
    <t>Appvizer (FR/DE/ES/IT)</t>
  </si>
  <si>
    <t>Yes — "sans engagement"</t>
  </si>
  <si>
    <t>45 min</t>
  </si>
  <si>
    <t>The only clearly-free reputable non-English option found — BUT it is explicitly a B2B software comparator for Europe. Requires reframing tools as small-business utilities.</t>
  </si>
  <si>
    <t>appvizer.fr/partenaires</t>
  </si>
  <si>
    <t>BetaList</t>
  </si>
  <si>
    <t>NO — paid only</t>
  </si>
  <si>
    <t>~$39 base (login-gated, unverified)</t>
  </si>
  <si>
    <t>Claims dofollow</t>
  </si>
  <si>
    <t>Their own FAQ: "All submissions are paid. There is no free submission option… BetaList used to offer free submissions." This entry was listed as free before — it is not.</t>
  </si>
  <si>
    <t>betalist.com/support</t>
  </si>
  <si>
    <t>Toolify.ai</t>
  </si>
  <si>
    <t>No</t>
  </si>
  <si>
    <t>$99 one-time</t>
  </si>
  <si>
    <t>dofollow is the paid perk</t>
  </si>
  <si>
    <t>No free queue anywhere on the submit page.</t>
  </si>
  <si>
    <t>toolify.ai/submit</t>
  </si>
  <si>
    <t>TopAI.tools</t>
  </si>
  <si>
    <t>$47 Fast Track / $229 Featured</t>
  </si>
  <si>
    <t>dofollow if paid</t>
  </si>
  <si>
    <t>No free tier listed.</t>
  </si>
  <si>
    <t>topai.tools/submit</t>
  </si>
  <si>
    <t>Futurepedia</t>
  </si>
  <si>
    <t>$247 Basic (SOLD OUT) / $497 Verified</t>
  </si>
  <si>
    <t>Site pivoted to selling AI courses; listings are now a premium product. Strictly worse $/link than TAAFT.</t>
  </si>
  <si>
    <t>futurepedia.io/submit-tool</t>
  </si>
  <si>
    <t>There's An AI For That (TAAFT)</t>
  </si>
  <si>
    <t>Lottery only — monthly X thread, 1 winner</t>
  </si>
  <si>
    <t>$49 basic / $347 Maximum Exposure</t>
  </si>
  <si>
    <t>If you ever pay: ONE umbrella listing only. Multi-tool listings multiply the cost.</t>
  </si>
  <si>
    <t>theresanaiforthat.com/launch/</t>
  </si>
  <si>
    <t>G2</t>
  </si>
  <si>
    <t>Yes — free profile claim</t>
  </si>
  <si>
    <t>Free; paid from $299/mo</t>
  </si>
  <si>
    <t>No direct outbound anchor found → nil</t>
  </si>
  <si>
    <t>B2B reviews platform; an empty shell without business-user reviews.</t>
  </si>
  <si>
    <t>sell.g2.com/profiles</t>
  </si>
  <si>
    <t>Capterra / G2 Digital Markets</t>
  </si>
  <si>
    <t>Appears yes (UNVERIFIED post-acquisition)</t>
  </si>
  <si>
    <t>Free basic; PPC $2/click, $500/mo floor</t>
  </si>
  <si>
    <t>No direct anchor found</t>
  </si>
  <si>
    <t>STRUCTURAL CHANGE: Gartner Digital Markets no longer exists — G2 acquired Capterra, GetApp and Software Advice from Gartner (closed Feb 2026, ~$110M). The word "free" is now absent from the vendor page. B2B-only fit anyway.</t>
  </si>
  <si>
    <t>capterra.com/vendors/</t>
  </si>
  <si>
    <t>SaaSworthy</t>
  </si>
  <si>
    <t>Yes — free Standard tier</t>
  </si>
  <si>
    <t>Free; paid = "Talk to Us"</t>
  </si>
  <si>
    <t>base64-cloaked nofollow</t>
  </si>
  <si>
    <t>Wrong audience (B2B SaaS buyers) and no link value.</t>
  </si>
  <si>
    <t>saasworthy.com/offerings</t>
  </si>
  <si>
    <t>AI Tool Guru</t>
  </si>
  <si>
    <t>Behind login (UNVERIFIED)</t>
  </si>
  <si>
    <t>$9.99-$99.99/mo tiers</t>
  </si>
  <si>
    <t>Site is up but looks dormant: "no recently added tools", 404 blog, four pricing tiers with identical feature lists.</t>
  </si>
  <si>
    <t>aitoolguru.com</t>
  </si>
  <si>
    <t>Softpedia</t>
  </si>
  <si>
    <t>n/a</t>
  </si>
  <si>
    <t>Downloadable software only — submission demands a PAD file, file size in MB, OS checkboxes. No hosted-web-app path exists.</t>
  </si>
  <si>
    <t>softpedia.com</t>
  </si>
  <si>
    <t>Slant.co</t>
  </si>
  <si>
    <t>Policy bans self-submission outright: users with a professional relationship with a product may not add it.</t>
  </si>
  <si>
    <t>slant.co</t>
  </si>
  <si>
    <t>Dev Hunt</t>
  </si>
  <si>
    <t>Developer tools only (APIs/SDKs/infra), GitHub-PR submission. Wrong audience.</t>
  </si>
  <si>
    <t>devhunt.org</t>
  </si>
  <si>
    <t>SourceForge</t>
  </si>
  <si>
    <t>Now a B2B software review site; a free consumer utility has nowhere to sit.</t>
  </si>
  <si>
    <t>sourceforge.net</t>
  </si>
  <si>
    <t>"300+ directory submission" services</t>
  </si>
  <si>
    <t>Varies</t>
  </si>
  <si>
    <t>Link-farm footprint</t>
  </si>
  <si>
    <t>Generic link farms with exactly the footprint search engines discount. Avoid. Same for paid blast services: Uneed auto-submit $249, MicroLaunch submit £99, Fazier Super $149.</t>
  </si>
  <si>
    <t>DeftBrain tool</t>
  </si>
  <si>
    <t>List as alternative to</t>
  </si>
  <si>
    <t>Why this pairing works</t>
  </si>
  <si>
    <t>Ticket Tackler, BillRescue, ComplaintEscalationWriter</t>
  </si>
  <si>
    <t>DoNotPay</t>
  </si>
  <si>
    <t>The obvious one — and DoNotPay is paid + FTC-sanctioned. "Free alternative" writes itself.</t>
  </si>
  <si>
    <t>FakeReviewDetective</t>
  </si>
  <si>
    <t>Fakespot, ReviewMeta</t>
  </si>
  <si>
    <t>Fakespot was shut down by Mozilla in 2025 — its page is orphaned demand searching for exactly this.</t>
  </si>
  <si>
    <t>TaskAvalancheBreaker</t>
  </si>
  <si>
    <t>goblin.tools (Magic ToDo)</t>
  </si>
  <si>
    <t>Beloved ADHD task-breaker; identical use case.</t>
  </si>
  <si>
    <t>VirtualBodyDouble</t>
  </si>
  <si>
    <t>Focusmate</t>
  </si>
  <si>
    <t>The body-doubling brand name; yours needs no scheduling or camera.</t>
  </si>
  <si>
    <t>FocusSoundArchitect</t>
  </si>
  <si>
    <t>Noisli, myNoise, Brain.fm, Endel</t>
  </si>
  <si>
    <t>Crowded famous category; yours is free and AI-composed.</t>
  </si>
  <si>
    <t>SubscriptionTamer</t>
  </si>
  <si>
    <t>Rocket Money, Trim, Bobby</t>
  </si>
  <si>
    <t>Household names; yours does not want your bank login.</t>
  </si>
  <si>
    <t>EmailUrgencyTriager</t>
  </si>
  <si>
    <t>SaneBox</t>
  </si>
  <si>
    <t>Paid incumbent, same triage promise.</t>
  </si>
  <si>
    <t>NameStorm</t>
  </si>
  <si>
    <t>Namelix, Squadhelp/Atom</t>
  </si>
  <si>
    <t>Big name-generator brands.</t>
  </si>
  <si>
    <t>RecipeChaosSolver</t>
  </si>
  <si>
    <t>SuperCook</t>
  </si>
  <si>
    <t>The ingredients-to-recipe standard.</t>
  </si>
  <si>
    <t>PlantRescue</t>
  </si>
  <si>
    <t>PictureThis, Planta</t>
  </si>
  <si>
    <t>Famous plant-care apps, both subscription-walled.</t>
  </si>
  <si>
    <t>FinalWish</t>
  </si>
  <si>
    <t>Everplans, Cake</t>
  </si>
  <si>
    <t>Established digital-legacy planners, paid.</t>
  </si>
  <si>
    <t>PronounceItRight</t>
  </si>
  <si>
    <t>Forvo</t>
  </si>
  <si>
    <t>The pronunciation reference site.</t>
  </si>
  <si>
    <t>QuoteCheck</t>
  </si>
  <si>
    <t>RepairPal</t>
  </si>
  <si>
    <t>The repair-estimate authority; yours also covers appliances.</t>
  </si>
  <si>
    <t>PlainTalk, ContractDecoder</t>
  </si>
  <si>
    <t>Legalese Decoder</t>
  </si>
  <si>
    <t>Known indie in the same niche.</t>
  </si>
  <si>
    <t>RentersDepositSaver</t>
  </si>
  <si>
    <t>RentCheck</t>
  </si>
  <si>
    <t>Move-in documentation apps.</t>
  </si>
  <si>
    <t>DeftBrain (umbrella)</t>
  </si>
  <si>
    <t>ChatGPT</t>
  </si>
  <si>
    <t>Honest framing: the form-based alternative for people who will never write a prompt.</t>
  </si>
  <si>
    <t>Highest-yield pages are DEAD or PAID incumbents (Fakespot, DoNotPay, SaneBox, Everplans) — their visitors are actively exit-shopping.</t>
  </si>
  <si>
    <t>Submit the top 6-8 only — moderators get suspicious of one product claiming to replace twenty things. Link the specific tool page, not the homepage.</t>
  </si>
  <si>
    <t>AlternativeTo REJECTED DeftBrain on 2026-07-29 (category ban: "collections of online tools, AI wrappers for LLMs"). These pairings are still useful — use them in SaaSHub alternatives tags, Show HN / Product Hunt copy, and on-site comparison guide pages.</t>
  </si>
  <si>
    <t>Progress</t>
  </si>
  <si>
    <t>Status</t>
  </si>
  <si>
    <t>Count</t>
  </si>
  <si>
    <t>submitted</t>
  </si>
  <si>
    <t>skip (verified dead/paid)</t>
  </si>
  <si>
    <t>DO items total</t>
  </si>
  <si>
    <t>Sequencing</t>
  </si>
  <si>
    <t>1.</t>
  </si>
  <si>
    <t>llms.txt Directory + IndexNow/Bing — free, fast, no gatekeeper.</t>
  </si>
  <si>
    <t>2.</t>
  </si>
  <si>
    <t>aitoolsdirectory / Launching Next / Tiny Startups / Uneed — start the slow queues NOW so they mature before launch day.</t>
  </si>
  <si>
    <t>3.</t>
  </si>
  <si>
    <t>AlternativeTo — create the account TODAY (1-week waiting period before you can submit).</t>
  </si>
  <si>
    <t>4.</t>
  </si>
  <si>
    <t>Product Hunt LAST — a PH visitor who searches your name and finds you already listed elsewhere reads as established.</t>
  </si>
  <si>
    <t>5.</t>
  </si>
  <si>
    <t>r/InternetIsBeautiful — separate day from PH, one tool, novel hook.</t>
  </si>
  <si>
    <t>Things that will bite you</t>
  </si>
  <si>
    <t>• aitoolsdirectory.com DISCARDS AI-written descriptions — hand-edit anything Claude drafts before pasting it there.</t>
  </si>
  <si>
    <t>• AlternativeTo enforces a 1-week account age before you can submit a new app. Sign up first, submit later.</t>
  </si>
  <si>
    <t>• FutureTools passes ZERO SEO value (their /go/ redirect is robots-blocked) — fine for traffic, worthless for links.</t>
  </si>
  <si>
    <t>• Most 2026 "free tiers" cost a queue, a reciprocal badge, or nofollow. The DO list is the set that costs none of those.</t>
  </si>
  <si>
    <t>• Flag your own browsers with ?operator=1 BEFORE launch day so the traffic spike in metrics is all them, none you.</t>
  </si>
  <si>
    <t>• Umbrella vs per-tool: default to deftbrain.com everywhere. AlternativeTo is the one exception worth splitting.</t>
  </si>
  <si>
    <t>Source</t>
  </si>
  <si>
    <t>Generated from audit/DIRECTORY-SUBMISSIONS.md. Every price, free path and link attribute verified at source on 2026-07-29. DR / dofollow figures marked "claims" are self-reported by the venue and were not independently verified.</t>
  </si>
  <si>
    <t>Field / tag group</t>
  </si>
  <si>
    <t>Value — copy-paste into the submission form</t>
  </si>
  <si>
    <t>— TAGS —</t>
  </si>
  <si>
    <t>LEAD WITH THESE (pick 5)</t>
  </si>
  <si>
    <t>free AI tools · no signup · consumer advocacy · life admin · plain-language AI</t>
  </si>
  <si>
    <t>Core identity</t>
  </si>
  <si>
    <t>free AI tools · no signup · AI web app · single-purpose tools · plain-language AI · multilingual AI · form-based (not chat)</t>
  </si>
  <si>
    <t>What people search for</t>
  </si>
  <si>
    <t>consumer advocacy · legal documents · contract review · tenant rights · parking tickets · bill disputes · medical prep · life admin · paperwork help</t>
  </si>
  <si>
    <t>Life areas</t>
  </si>
  <si>
    <t>productivity · focus · ADHD support · mental health · relationships · difficult conversations · career · money · household · travel · creativity</t>
  </si>
  <si>
    <t>Descriptors / attributes</t>
  </si>
  <si>
    <t>free · web-based · AI-powered · no account required · privacy-friendly · 13 languages · locale-aware</t>
  </si>
  <si>
    <t>Categories (for forms that pick from a list)</t>
  </si>
  <si>
    <t>productivity · communication · health · finance · AI writing · consumer tools</t>
  </si>
  <si>
    <t>— COPY BLOCKS —</t>
  </si>
  <si>
    <t>One-liner (≤60 chars)</t>
  </si>
  <si>
    <t>120+ free AI tools for real-life problems — no signup</t>
  </si>
  <si>
    <t>Tagline (alt)</t>
  </si>
  <si>
    <t>AI for people who never wanted AI</t>
  </si>
  <si>
    <t>Short description (281 chars)</t>
  </si>
  <si>
    <t>Free collection of 120+ single-purpose AI tools for everyday problems — contest a parking ticket, decode a lease, check a repair quote, prep a doctor visit. Plain forms instead of chat: fill in a few fields, get a ready-to-use result. 13 languages, locale-aware. No account needed.</t>
  </si>
  <si>
    <t>Long description (para 1)</t>
  </si>
  <si>
    <t>DeftBrain is a free collection of more than 120 single-purpose AI tools for everyday problems — contesting a parking ticket, decoding a lease, checking a repair quote for overcharging, preparing for a doctor visit, or drafting a difficult conversation. Each tool replaces the chat interface with a plain form: users fill in a few labeled fields and receive a structured, ready-to-use result, such as an appeal letter, an evidence checklist, or a step-by-step plan. No account or signup is required.</t>
  </si>
  <si>
    <t>Long description (para 2)</t>
  </si>
  <si>
    <t>Tools that depend on volatile facts — appeal deadlines, tenant and deposit law, billing rights — verify current rules against authoritative sources with live web checks rather than relying on the model's training data. Recommendations are designed to be honest rather than agreeable: several tools will advise against acting (for example, that a ticket is not worth contesting). All tools work in 13 languages with local currency and jurisdiction awareness. Analytics are first-party and cookie-less, and no user content is stored server-side.</t>
  </si>
  <si>
    <t>Primary audience (for Q&amp;A forms)</t>
  </si>
  <si>
    <t>Non-technical people in any of 13 languages looking for help with an everyday life problem — a parking ticket, a confusing bill, a hard conversation, an incomprehensible lease. Not AI enthusiasts — people who'd never write a prompt but will fill in three labeled fields.</t>
  </si>
  <si>
    <t>Story / origin (for Q&amp;A forms)</t>
  </si>
  <si>
    <t>DeftBrain started with a simple observation: the people who could benefit most from AI were bouncing off it. A blank chatbox is a power tool for the initiated and a wall for everyone else — so I started building tools shaped like problems instead of shaped like chat.
Millions of people use AI daily. DeftBrain.com isn't for them. It's for everyone else — people skeptical of the hype, or uninterested in learning yet another technology. Today DeftBrain is more than 120 free tools that each solve one everyday problem: contest a parking ticket, decode a lease, prep for a doctor visit. No account, no chatbox, no prompting — fill in a few fields or make a few selections and get something you can actually use. The AI is under the hood, where it belongs.
If it wins over a skeptic or two along the way, all the better.</t>
  </si>
  <si>
    <t>— RULES —</t>
  </si>
  <si>
    <t>DISCARDS AI-written descriptions. Hand-edit the copy above before pasting it there — change the sentence order and swap a few words so it is genuinely yours.</t>
  </si>
  <si>
    <t>Language per venue</t>
  </si>
  <si>
    <t>Neutral/encyclopedic for AlternativeTo-style directories and Wikipedia-adjacent surfaces; warmer for Product Hunt; plainest and least salesy for Show HN (marketing voice gets flagged there).</t>
  </si>
  <si>
    <t>Character limits seen so far</t>
  </si>
  <si>
    <t>AlternativeTo short field: 290 max. Product Hunt tagline: 60. Most AI directories: 150-300 for the summary.</t>
  </si>
  <si>
    <t>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</si>
</sst>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1B7A3D"/>
      <name val="Arial"/>
      <family val="2"/>
    </font>
    <font>
      <b/>
      <sz val="10"/>
      <color rgb="FF9A6A00"/>
      <name val="Arial"/>
      <family val="2"/>
    </font>
    <font>
      <b/>
      <sz val="10"/>
      <color rgb="FF888888"/>
      <name val="Arial"/>
      <family val="2"/>
    </font>
    <font>
      <i/>
      <sz val="10"/>
      <color rgb="FF9A6A00"/>
      <name val="Arial"/>
      <family val="2"/>
    </font>
    <font>
      <b/>
      <sz val="13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color rgb="FF000000"/>
      <name val="Arial"/>
      <family val="2"/>
    </font>
    <font>
      <b/>
      <sz val="10"/>
      <color rgb="FFB03030"/>
      <name val="Arial"/>
      <family val="2"/>
    </font>
    <font>
      <b/>
      <sz val="10"/>
      <color rgb="FF1A2E44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A2E44"/>
      </patternFill>
    </fill>
    <fill>
      <patternFill patternType="solid">
        <fgColor rgb="FFE8F4EA"/>
      </patternFill>
    </fill>
    <fill>
      <patternFill patternType="solid">
        <fgColor rgb="FFFDF6E3"/>
      </patternFill>
    </fill>
    <fill>
      <patternFill patternType="solid">
        <fgColor rgb="FFF5F5F5"/>
      </patternFill>
    </fill>
    <fill>
      <patternFill patternType="solid">
        <fgColor rgb="FFFDECEC"/>
      </patternFill>
    </fill>
    <fill>
      <patternFill patternType="solid">
        <fgColor rgb="FFEDEAE3"/>
      </patternFill>
    </fill>
    <fill>
      <patternFill patternType="solid">
        <fgColor rgb="FFDCEED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vertical="top"/>
    </xf>
    <xf numFmtId="0" fontId="4" fillId="4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vertical="top"/>
    </xf>
    <xf numFmtId="0" fontId="5" fillId="5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 wrapText="1"/>
    </xf>
    <xf numFmtId="0" fontId="1" fillId="2" borderId="0" xfId="0" applyFont="1" applyFill="1"/>
    <xf numFmtId="0" fontId="2" fillId="0" borderId="1" xfId="0" applyFont="1" applyBorder="1" applyAlignment="1">
      <alignment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2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6" borderId="1" xfId="0" applyFont="1" applyFill="1" applyBorder="1" applyAlignment="1">
      <alignment vertical="top" wrapText="1"/>
    </xf>
    <xf numFmtId="0" fontId="11" fillId="6" borderId="1" xfId="0" applyFont="1" applyFill="1" applyBorder="1" applyAlignment="1">
      <alignment vertical="top" wrapText="1"/>
    </xf>
    <xf numFmtId="0" fontId="11" fillId="0" borderId="0" xfId="0" applyFont="1" applyAlignment="1">
      <alignment vertical="top" wrapText="1"/>
    </xf>
    <xf numFmtId="0" fontId="12" fillId="7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13" fillId="3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10" fillId="8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1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workbookViewId="0">
      <pane xSplit="2" ySplit="1" topLeftCell="C2" activePane="bottomRight" state="frozen"/>
      <selection pane="topRight"/>
      <selection pane="bottomLeft"/>
      <selection pane="bottomRight" sqref="A1:A1048576"/>
    </sheetView>
  </sheetViews>
  <sheetFormatPr baseColWidth="10" defaultColWidth="8.83203125" defaultRowHeight="15" x14ac:dyDescent="0.2"/>
  <cols>
    <col min="1" max="1" width="2" style="32" bestFit="1" customWidth="1"/>
    <col min="2" max="2" width="6" customWidth="1"/>
    <col min="3" max="3" width="24" customWidth="1"/>
    <col min="4" max="4" width="9" customWidth="1"/>
    <col min="5" max="5" width="22" customWidth="1"/>
    <col min="6" max="6" width="20" customWidth="1"/>
    <col min="7" max="7" width="22" customWidth="1"/>
    <col min="8" max="8" width="10" customWidth="1"/>
    <col min="9" max="9" width="62" customWidth="1"/>
    <col min="10" max="10" width="12" customWidth="1"/>
    <col min="11" max="11" width="34" customWidth="1"/>
  </cols>
  <sheetData>
    <row r="1" spans="1:11" ht="30" customHeight="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58" customHeight="1" x14ac:dyDescent="0.2">
      <c r="A2" s="32" t="s">
        <v>320</v>
      </c>
      <c r="B2" s="2">
        <v>1</v>
      </c>
      <c r="C2" s="3" t="s">
        <v>10</v>
      </c>
      <c r="D2" s="4" t="s">
        <v>11</v>
      </c>
      <c r="E2" s="5" t="s">
        <v>12</v>
      </c>
      <c r="F2" s="5" t="s">
        <v>13</v>
      </c>
      <c r="G2" s="5" t="s">
        <v>14</v>
      </c>
      <c r="H2" s="3" t="s">
        <v>15</v>
      </c>
      <c r="I2" s="5" t="s">
        <v>16</v>
      </c>
      <c r="J2" s="3" t="s">
        <v>17</v>
      </c>
      <c r="K2" s="3" t="s">
        <v>18</v>
      </c>
    </row>
    <row r="3" spans="1:11" ht="86" customHeight="1" x14ac:dyDescent="0.2">
      <c r="A3" s="32" t="s">
        <v>320</v>
      </c>
      <c r="B3" s="30">
        <v>2</v>
      </c>
      <c r="C3" s="30" t="s">
        <v>19</v>
      </c>
      <c r="D3" s="31" t="s">
        <v>11</v>
      </c>
      <c r="E3" s="30" t="s">
        <v>20</v>
      </c>
      <c r="F3" s="30" t="s">
        <v>13</v>
      </c>
      <c r="G3" s="30" t="s">
        <v>21</v>
      </c>
      <c r="H3" s="30" t="s">
        <v>22</v>
      </c>
      <c r="I3" s="30" t="s">
        <v>23</v>
      </c>
      <c r="J3" s="30" t="s">
        <v>24</v>
      </c>
      <c r="K3" s="30" t="s">
        <v>25</v>
      </c>
    </row>
    <row r="4" spans="1:11" ht="58" customHeight="1" x14ac:dyDescent="0.2">
      <c r="B4" s="2">
        <v>3</v>
      </c>
      <c r="C4" s="3" t="s">
        <v>26</v>
      </c>
      <c r="D4" s="4" t="s">
        <v>11</v>
      </c>
      <c r="E4" s="5" t="s">
        <v>27</v>
      </c>
      <c r="F4" s="5" t="s">
        <v>28</v>
      </c>
      <c r="G4" s="5" t="s">
        <v>29</v>
      </c>
      <c r="H4" s="3" t="s">
        <v>30</v>
      </c>
      <c r="I4" s="5" t="s">
        <v>31</v>
      </c>
      <c r="J4" s="3" t="s">
        <v>17</v>
      </c>
      <c r="K4" s="3" t="s">
        <v>32</v>
      </c>
    </row>
    <row r="5" spans="1:11" ht="70" customHeight="1" x14ac:dyDescent="0.2">
      <c r="B5" s="22">
        <v>4</v>
      </c>
      <c r="C5" s="22" t="s">
        <v>33</v>
      </c>
      <c r="D5" s="23" t="s">
        <v>34</v>
      </c>
      <c r="E5" s="22" t="s">
        <v>35</v>
      </c>
      <c r="F5" s="22" t="s">
        <v>36</v>
      </c>
      <c r="G5" s="22" t="s">
        <v>36</v>
      </c>
      <c r="H5" s="22" t="s">
        <v>36</v>
      </c>
      <c r="I5" s="22" t="s">
        <v>37</v>
      </c>
      <c r="J5" s="22" t="s">
        <v>38</v>
      </c>
      <c r="K5" s="22" t="s">
        <v>39</v>
      </c>
    </row>
    <row r="6" spans="1:11" ht="58" customHeight="1" x14ac:dyDescent="0.2">
      <c r="B6" s="2">
        <v>4</v>
      </c>
      <c r="C6" s="3" t="s">
        <v>40</v>
      </c>
      <c r="D6" s="4" t="s">
        <v>11</v>
      </c>
      <c r="E6" s="5" t="s">
        <v>41</v>
      </c>
      <c r="F6" s="5" t="s">
        <v>42</v>
      </c>
      <c r="G6" s="5" t="s">
        <v>43</v>
      </c>
      <c r="H6" s="3" t="s">
        <v>44</v>
      </c>
      <c r="I6" s="5" t="s">
        <v>45</v>
      </c>
      <c r="J6" s="3" t="s">
        <v>17</v>
      </c>
      <c r="K6" s="3" t="s">
        <v>46</v>
      </c>
    </row>
    <row r="7" spans="1:11" ht="58" customHeight="1" x14ac:dyDescent="0.2">
      <c r="B7" s="2">
        <v>5</v>
      </c>
      <c r="C7" s="3" t="s">
        <v>47</v>
      </c>
      <c r="D7" s="4" t="s">
        <v>11</v>
      </c>
      <c r="E7" s="5" t="s">
        <v>48</v>
      </c>
      <c r="F7" s="5" t="s">
        <v>13</v>
      </c>
      <c r="G7" s="5" t="s">
        <v>49</v>
      </c>
      <c r="H7" s="3" t="s">
        <v>30</v>
      </c>
      <c r="I7" s="5" t="s">
        <v>50</v>
      </c>
      <c r="J7" s="3" t="s">
        <v>17</v>
      </c>
      <c r="K7" s="3" t="s">
        <v>51</v>
      </c>
    </row>
    <row r="8" spans="1:11" ht="58" customHeight="1" x14ac:dyDescent="0.2">
      <c r="B8" s="2">
        <v>6</v>
      </c>
      <c r="C8" s="3" t="s">
        <v>52</v>
      </c>
      <c r="D8" s="4" t="s">
        <v>11</v>
      </c>
      <c r="E8" s="5" t="s">
        <v>53</v>
      </c>
      <c r="F8" s="5" t="s">
        <v>54</v>
      </c>
      <c r="G8" s="5" t="s">
        <v>55</v>
      </c>
      <c r="H8" s="3" t="s">
        <v>56</v>
      </c>
      <c r="I8" s="5" t="s">
        <v>57</v>
      </c>
      <c r="J8" s="3" t="s">
        <v>17</v>
      </c>
      <c r="K8" s="3" t="s">
        <v>58</v>
      </c>
    </row>
    <row r="9" spans="1:11" ht="58" customHeight="1" x14ac:dyDescent="0.2">
      <c r="B9" s="2">
        <v>7</v>
      </c>
      <c r="C9" s="3" t="s">
        <v>59</v>
      </c>
      <c r="D9" s="4" t="s">
        <v>11</v>
      </c>
      <c r="E9" s="5" t="s">
        <v>60</v>
      </c>
      <c r="F9" s="5" t="s">
        <v>13</v>
      </c>
      <c r="G9" s="5" t="s">
        <v>61</v>
      </c>
      <c r="H9" s="3" t="s">
        <v>15</v>
      </c>
      <c r="I9" s="5" t="s">
        <v>62</v>
      </c>
      <c r="J9" s="3" t="s">
        <v>17</v>
      </c>
      <c r="K9" s="3" t="s">
        <v>63</v>
      </c>
    </row>
    <row r="10" spans="1:11" ht="58" customHeight="1" x14ac:dyDescent="0.2">
      <c r="B10" s="2">
        <v>8</v>
      </c>
      <c r="C10" s="3" t="s">
        <v>64</v>
      </c>
      <c r="D10" s="4" t="s">
        <v>11</v>
      </c>
      <c r="E10" s="5" t="s">
        <v>65</v>
      </c>
      <c r="F10" s="5" t="s">
        <v>13</v>
      </c>
      <c r="G10" s="5" t="s">
        <v>66</v>
      </c>
      <c r="H10" s="3" t="s">
        <v>67</v>
      </c>
      <c r="I10" s="5" t="s">
        <v>68</v>
      </c>
      <c r="J10" s="3" t="s">
        <v>17</v>
      </c>
      <c r="K10" s="3" t="s">
        <v>69</v>
      </c>
    </row>
    <row r="11" spans="1:11" ht="58" customHeight="1" x14ac:dyDescent="0.2">
      <c r="B11" s="2">
        <v>9</v>
      </c>
      <c r="C11" s="3" t="s">
        <v>70</v>
      </c>
      <c r="D11" s="4" t="s">
        <v>11</v>
      </c>
      <c r="E11" s="5" t="s">
        <v>71</v>
      </c>
      <c r="F11" s="5" t="s">
        <v>13</v>
      </c>
      <c r="G11" s="5" t="s">
        <v>72</v>
      </c>
      <c r="H11" s="3" t="s">
        <v>73</v>
      </c>
      <c r="I11" s="5" t="s">
        <v>74</v>
      </c>
      <c r="J11" s="3" t="s">
        <v>75</v>
      </c>
      <c r="K11" s="3" t="s">
        <v>76</v>
      </c>
    </row>
    <row r="12" spans="1:11" ht="58" customHeight="1" x14ac:dyDescent="0.2">
      <c r="B12" s="6"/>
      <c r="C12" s="7" t="s">
        <v>77</v>
      </c>
      <c r="D12" s="8" t="s">
        <v>78</v>
      </c>
      <c r="E12" s="9" t="s">
        <v>79</v>
      </c>
      <c r="F12" s="9" t="s">
        <v>13</v>
      </c>
      <c r="G12" s="9" t="s">
        <v>80</v>
      </c>
      <c r="H12" s="7" t="s">
        <v>81</v>
      </c>
      <c r="I12" s="9" t="s">
        <v>82</v>
      </c>
      <c r="J12" s="7" t="s">
        <v>17</v>
      </c>
      <c r="K12" s="7" t="s">
        <v>83</v>
      </c>
    </row>
    <row r="13" spans="1:11" ht="58" customHeight="1" x14ac:dyDescent="0.2">
      <c r="B13" s="6"/>
      <c r="C13" s="7" t="s">
        <v>84</v>
      </c>
      <c r="D13" s="8" t="s">
        <v>78</v>
      </c>
      <c r="E13" s="9" t="s">
        <v>85</v>
      </c>
      <c r="F13" s="9" t="s">
        <v>86</v>
      </c>
      <c r="G13" s="9" t="s">
        <v>87</v>
      </c>
      <c r="H13" s="7" t="s">
        <v>30</v>
      </c>
      <c r="I13" s="9" t="s">
        <v>88</v>
      </c>
      <c r="J13" s="7" t="s">
        <v>17</v>
      </c>
      <c r="K13" s="7" t="s">
        <v>89</v>
      </c>
    </row>
    <row r="14" spans="1:11" ht="58" customHeight="1" x14ac:dyDescent="0.2">
      <c r="B14" s="6"/>
      <c r="C14" s="7" t="s">
        <v>90</v>
      </c>
      <c r="D14" s="8" t="s">
        <v>78</v>
      </c>
      <c r="E14" s="9" t="s">
        <v>91</v>
      </c>
      <c r="F14" s="9" t="s">
        <v>13</v>
      </c>
      <c r="G14" s="9" t="s">
        <v>92</v>
      </c>
      <c r="H14" s="7" t="s">
        <v>30</v>
      </c>
      <c r="I14" s="9" t="s">
        <v>93</v>
      </c>
      <c r="J14" s="7" t="s">
        <v>17</v>
      </c>
      <c r="K14" s="7" t="s">
        <v>94</v>
      </c>
    </row>
    <row r="15" spans="1:11" ht="58" customHeight="1" x14ac:dyDescent="0.2">
      <c r="B15" s="6"/>
      <c r="C15" s="7" t="s">
        <v>95</v>
      </c>
      <c r="D15" s="8" t="s">
        <v>78</v>
      </c>
      <c r="E15" s="9" t="s">
        <v>96</v>
      </c>
      <c r="F15" s="9" t="s">
        <v>13</v>
      </c>
      <c r="G15" s="9" t="s">
        <v>97</v>
      </c>
      <c r="H15" s="7" t="s">
        <v>73</v>
      </c>
      <c r="I15" s="9" t="s">
        <v>98</v>
      </c>
      <c r="J15" s="7" t="s">
        <v>17</v>
      </c>
      <c r="K15" s="7" t="s">
        <v>99</v>
      </c>
    </row>
    <row r="16" spans="1:11" ht="58" customHeight="1" x14ac:dyDescent="0.2">
      <c r="B16" s="6"/>
      <c r="C16" s="7" t="s">
        <v>100</v>
      </c>
      <c r="D16" s="8" t="s">
        <v>78</v>
      </c>
      <c r="E16" s="9" t="s">
        <v>101</v>
      </c>
      <c r="F16" s="9" t="s">
        <v>13</v>
      </c>
      <c r="G16" s="9" t="s">
        <v>102</v>
      </c>
      <c r="H16" s="7" t="s">
        <v>73</v>
      </c>
      <c r="I16" s="9" t="s">
        <v>103</v>
      </c>
      <c r="J16" s="7" t="s">
        <v>104</v>
      </c>
      <c r="K16" s="7" t="s">
        <v>105</v>
      </c>
    </row>
    <row r="17" spans="2:11" ht="58" customHeight="1" x14ac:dyDescent="0.2">
      <c r="B17" s="6"/>
      <c r="C17" s="7" t="s">
        <v>106</v>
      </c>
      <c r="D17" s="8" t="s">
        <v>78</v>
      </c>
      <c r="E17" s="9" t="s">
        <v>107</v>
      </c>
      <c r="F17" s="9" t="s">
        <v>13</v>
      </c>
      <c r="G17" s="9" t="s">
        <v>108</v>
      </c>
      <c r="H17" s="7" t="s">
        <v>30</v>
      </c>
      <c r="I17" s="9" t="s">
        <v>109</v>
      </c>
      <c r="J17" s="7" t="s">
        <v>17</v>
      </c>
      <c r="K17" s="7" t="s">
        <v>110</v>
      </c>
    </row>
    <row r="18" spans="2:11" ht="58" customHeight="1" x14ac:dyDescent="0.2">
      <c r="B18" s="6"/>
      <c r="C18" s="7" t="s">
        <v>111</v>
      </c>
      <c r="D18" s="8" t="s">
        <v>78</v>
      </c>
      <c r="E18" s="9" t="s">
        <v>112</v>
      </c>
      <c r="F18" s="9" t="s">
        <v>13</v>
      </c>
      <c r="G18" s="9" t="s">
        <v>113</v>
      </c>
      <c r="H18" s="7" t="s">
        <v>30</v>
      </c>
      <c r="I18" s="9" t="s">
        <v>114</v>
      </c>
      <c r="J18" s="7" t="s">
        <v>17</v>
      </c>
      <c r="K18" s="7" t="s">
        <v>115</v>
      </c>
    </row>
    <row r="19" spans="2:11" ht="58" customHeight="1" x14ac:dyDescent="0.2">
      <c r="B19" s="6"/>
      <c r="C19" s="7" t="s">
        <v>116</v>
      </c>
      <c r="D19" s="8" t="s">
        <v>78</v>
      </c>
      <c r="E19" s="9" t="s">
        <v>117</v>
      </c>
      <c r="F19" s="9" t="s">
        <v>118</v>
      </c>
      <c r="G19" s="9" t="s">
        <v>119</v>
      </c>
      <c r="H19" s="7" t="s">
        <v>30</v>
      </c>
      <c r="I19" s="9" t="s">
        <v>120</v>
      </c>
      <c r="J19" s="7" t="s">
        <v>17</v>
      </c>
      <c r="K19" s="7" t="s">
        <v>121</v>
      </c>
    </row>
    <row r="20" spans="2:11" ht="58" customHeight="1" x14ac:dyDescent="0.2">
      <c r="B20" s="6"/>
      <c r="C20" s="7" t="s">
        <v>122</v>
      </c>
      <c r="D20" s="8" t="s">
        <v>78</v>
      </c>
      <c r="E20" s="9" t="s">
        <v>123</v>
      </c>
      <c r="F20" s="9" t="s">
        <v>124</v>
      </c>
      <c r="G20" s="9" t="s">
        <v>125</v>
      </c>
      <c r="H20" s="7" t="s">
        <v>30</v>
      </c>
      <c r="I20" s="9" t="s">
        <v>126</v>
      </c>
      <c r="J20" s="7" t="s">
        <v>17</v>
      </c>
      <c r="K20" s="7" t="s">
        <v>127</v>
      </c>
    </row>
    <row r="21" spans="2:11" ht="58" customHeight="1" x14ac:dyDescent="0.2">
      <c r="B21" s="6"/>
      <c r="C21" s="7" t="s">
        <v>128</v>
      </c>
      <c r="D21" s="8" t="s">
        <v>78</v>
      </c>
      <c r="E21" s="9" t="s">
        <v>129</v>
      </c>
      <c r="F21" s="9" t="s">
        <v>13</v>
      </c>
      <c r="G21" s="9" t="s">
        <v>130</v>
      </c>
      <c r="H21" s="7" t="s">
        <v>73</v>
      </c>
      <c r="I21" s="9" t="s">
        <v>131</v>
      </c>
      <c r="J21" s="7" t="s">
        <v>17</v>
      </c>
      <c r="K21" s="7" t="s">
        <v>132</v>
      </c>
    </row>
    <row r="22" spans="2:11" ht="58" customHeight="1" x14ac:dyDescent="0.2">
      <c r="B22" s="6"/>
      <c r="C22" s="7" t="s">
        <v>133</v>
      </c>
      <c r="D22" s="8" t="s">
        <v>78</v>
      </c>
      <c r="E22" s="9" t="s">
        <v>134</v>
      </c>
      <c r="F22" s="9" t="s">
        <v>13</v>
      </c>
      <c r="G22" s="9" t="s">
        <v>130</v>
      </c>
      <c r="H22" s="7" t="s">
        <v>135</v>
      </c>
      <c r="I22" s="9" t="s">
        <v>136</v>
      </c>
      <c r="J22" s="7" t="s">
        <v>17</v>
      </c>
      <c r="K22" s="7" t="s">
        <v>137</v>
      </c>
    </row>
    <row r="23" spans="2:11" ht="58" customHeight="1" x14ac:dyDescent="0.2">
      <c r="B23" s="10"/>
      <c r="C23" s="11" t="s">
        <v>138</v>
      </c>
      <c r="D23" s="12" t="s">
        <v>34</v>
      </c>
      <c r="E23" s="13" t="s">
        <v>139</v>
      </c>
      <c r="F23" s="13" t="s">
        <v>140</v>
      </c>
      <c r="G23" s="13" t="s">
        <v>141</v>
      </c>
      <c r="H23" s="11" t="s">
        <v>36</v>
      </c>
      <c r="I23" s="13" t="s">
        <v>142</v>
      </c>
      <c r="J23" s="11" t="s">
        <v>38</v>
      </c>
      <c r="K23" s="11" t="s">
        <v>143</v>
      </c>
    </row>
    <row r="24" spans="2:11" ht="58" customHeight="1" x14ac:dyDescent="0.2">
      <c r="B24" s="10"/>
      <c r="C24" s="11" t="s">
        <v>144</v>
      </c>
      <c r="D24" s="12" t="s">
        <v>34</v>
      </c>
      <c r="E24" s="13" t="s">
        <v>145</v>
      </c>
      <c r="F24" s="13" t="s">
        <v>146</v>
      </c>
      <c r="G24" s="13" t="s">
        <v>147</v>
      </c>
      <c r="H24" s="11" t="s">
        <v>36</v>
      </c>
      <c r="I24" s="13" t="s">
        <v>148</v>
      </c>
      <c r="J24" s="11" t="s">
        <v>38</v>
      </c>
      <c r="K24" s="11" t="s">
        <v>149</v>
      </c>
    </row>
    <row r="25" spans="2:11" ht="58" customHeight="1" x14ac:dyDescent="0.2">
      <c r="B25" s="10"/>
      <c r="C25" s="11" t="s">
        <v>150</v>
      </c>
      <c r="D25" s="12" t="s">
        <v>34</v>
      </c>
      <c r="E25" s="13" t="s">
        <v>145</v>
      </c>
      <c r="F25" s="13" t="s">
        <v>151</v>
      </c>
      <c r="G25" s="13" t="s">
        <v>152</v>
      </c>
      <c r="H25" s="11" t="s">
        <v>36</v>
      </c>
      <c r="I25" s="13" t="s">
        <v>153</v>
      </c>
      <c r="J25" s="11" t="s">
        <v>38</v>
      </c>
      <c r="K25" s="11" t="s">
        <v>154</v>
      </c>
    </row>
    <row r="26" spans="2:11" ht="58" customHeight="1" x14ac:dyDescent="0.2">
      <c r="B26" s="10"/>
      <c r="C26" s="11" t="s">
        <v>155</v>
      </c>
      <c r="D26" s="12" t="s">
        <v>34</v>
      </c>
      <c r="E26" s="13" t="s">
        <v>145</v>
      </c>
      <c r="F26" s="13" t="s">
        <v>156</v>
      </c>
      <c r="G26" s="13" t="s">
        <v>36</v>
      </c>
      <c r="H26" s="11" t="s">
        <v>36</v>
      </c>
      <c r="I26" s="13" t="s">
        <v>157</v>
      </c>
      <c r="J26" s="11" t="s">
        <v>38</v>
      </c>
      <c r="K26" s="11" t="s">
        <v>158</v>
      </c>
    </row>
    <row r="27" spans="2:11" ht="58" customHeight="1" x14ac:dyDescent="0.2">
      <c r="B27" s="10"/>
      <c r="C27" s="11" t="s">
        <v>159</v>
      </c>
      <c r="D27" s="12" t="s">
        <v>34</v>
      </c>
      <c r="E27" s="13" t="s">
        <v>160</v>
      </c>
      <c r="F27" s="13" t="s">
        <v>161</v>
      </c>
      <c r="G27" s="13" t="s">
        <v>72</v>
      </c>
      <c r="H27" s="11" t="s">
        <v>36</v>
      </c>
      <c r="I27" s="13" t="s">
        <v>162</v>
      </c>
      <c r="J27" s="11" t="s">
        <v>38</v>
      </c>
      <c r="K27" s="11" t="s">
        <v>163</v>
      </c>
    </row>
    <row r="28" spans="2:11" ht="58" customHeight="1" x14ac:dyDescent="0.2">
      <c r="B28" s="10"/>
      <c r="C28" s="11" t="s">
        <v>164</v>
      </c>
      <c r="D28" s="12" t="s">
        <v>34</v>
      </c>
      <c r="E28" s="13" t="s">
        <v>165</v>
      </c>
      <c r="F28" s="13" t="s">
        <v>166</v>
      </c>
      <c r="G28" s="13" t="s">
        <v>167</v>
      </c>
      <c r="H28" s="11" t="s">
        <v>36</v>
      </c>
      <c r="I28" s="13" t="s">
        <v>168</v>
      </c>
      <c r="J28" s="11" t="s">
        <v>38</v>
      </c>
      <c r="K28" s="11" t="s">
        <v>169</v>
      </c>
    </row>
    <row r="29" spans="2:11" ht="58" customHeight="1" x14ac:dyDescent="0.2">
      <c r="B29" s="10"/>
      <c r="C29" s="11" t="s">
        <v>170</v>
      </c>
      <c r="D29" s="12" t="s">
        <v>34</v>
      </c>
      <c r="E29" s="13" t="s">
        <v>171</v>
      </c>
      <c r="F29" s="13" t="s">
        <v>172</v>
      </c>
      <c r="G29" s="13" t="s">
        <v>173</v>
      </c>
      <c r="H29" s="11" t="s">
        <v>36</v>
      </c>
      <c r="I29" s="13" t="s">
        <v>174</v>
      </c>
      <c r="J29" s="11" t="s">
        <v>38</v>
      </c>
      <c r="K29" s="11" t="s">
        <v>175</v>
      </c>
    </row>
    <row r="30" spans="2:11" ht="58" customHeight="1" x14ac:dyDescent="0.2">
      <c r="B30" s="10"/>
      <c r="C30" s="11" t="s">
        <v>176</v>
      </c>
      <c r="D30" s="12" t="s">
        <v>34</v>
      </c>
      <c r="E30" s="13" t="s">
        <v>177</v>
      </c>
      <c r="F30" s="13" t="s">
        <v>178</v>
      </c>
      <c r="G30" s="13" t="s">
        <v>179</v>
      </c>
      <c r="H30" s="11" t="s">
        <v>36</v>
      </c>
      <c r="I30" s="13" t="s">
        <v>180</v>
      </c>
      <c r="J30" s="11" t="s">
        <v>38</v>
      </c>
      <c r="K30" s="11" t="s">
        <v>181</v>
      </c>
    </row>
    <row r="31" spans="2:11" ht="58" customHeight="1" x14ac:dyDescent="0.2">
      <c r="B31" s="10"/>
      <c r="C31" s="11" t="s">
        <v>182</v>
      </c>
      <c r="D31" s="12" t="s">
        <v>34</v>
      </c>
      <c r="E31" s="13" t="s">
        <v>183</v>
      </c>
      <c r="F31" s="13" t="s">
        <v>184</v>
      </c>
      <c r="G31" s="13" t="s">
        <v>130</v>
      </c>
      <c r="H31" s="11" t="s">
        <v>36</v>
      </c>
      <c r="I31" s="13" t="s">
        <v>185</v>
      </c>
      <c r="J31" s="11" t="s">
        <v>38</v>
      </c>
      <c r="K31" s="11" t="s">
        <v>186</v>
      </c>
    </row>
    <row r="32" spans="2:11" ht="58" customHeight="1" x14ac:dyDescent="0.2">
      <c r="B32" s="10"/>
      <c r="C32" s="11" t="s">
        <v>187</v>
      </c>
      <c r="D32" s="12" t="s">
        <v>34</v>
      </c>
      <c r="E32" s="13" t="s">
        <v>188</v>
      </c>
      <c r="F32" s="13" t="s">
        <v>36</v>
      </c>
      <c r="G32" s="13" t="s">
        <v>36</v>
      </c>
      <c r="H32" s="11" t="s">
        <v>36</v>
      </c>
      <c r="I32" s="13" t="s">
        <v>189</v>
      </c>
      <c r="J32" s="11" t="s">
        <v>38</v>
      </c>
      <c r="K32" s="11" t="s">
        <v>190</v>
      </c>
    </row>
    <row r="33" spans="2:11" ht="58" customHeight="1" x14ac:dyDescent="0.2">
      <c r="B33" s="10"/>
      <c r="C33" s="11" t="s">
        <v>191</v>
      </c>
      <c r="D33" s="12" t="s">
        <v>34</v>
      </c>
      <c r="E33" s="13" t="s">
        <v>188</v>
      </c>
      <c r="F33" s="13" t="s">
        <v>36</v>
      </c>
      <c r="G33" s="13" t="s">
        <v>36</v>
      </c>
      <c r="H33" s="11" t="s">
        <v>36</v>
      </c>
      <c r="I33" s="13" t="s">
        <v>192</v>
      </c>
      <c r="J33" s="11" t="s">
        <v>38</v>
      </c>
      <c r="K33" s="11" t="s">
        <v>193</v>
      </c>
    </row>
    <row r="34" spans="2:11" ht="58" customHeight="1" x14ac:dyDescent="0.2">
      <c r="B34" s="10"/>
      <c r="C34" s="11" t="s">
        <v>194</v>
      </c>
      <c r="D34" s="12" t="s">
        <v>34</v>
      </c>
      <c r="E34" s="13" t="s">
        <v>188</v>
      </c>
      <c r="F34" s="13" t="s">
        <v>36</v>
      </c>
      <c r="G34" s="13" t="s">
        <v>36</v>
      </c>
      <c r="H34" s="11" t="s">
        <v>36</v>
      </c>
      <c r="I34" s="13" t="s">
        <v>195</v>
      </c>
      <c r="J34" s="11" t="s">
        <v>38</v>
      </c>
      <c r="K34" s="11" t="s">
        <v>196</v>
      </c>
    </row>
    <row r="35" spans="2:11" ht="58" customHeight="1" x14ac:dyDescent="0.2">
      <c r="B35" s="10"/>
      <c r="C35" s="11" t="s">
        <v>197</v>
      </c>
      <c r="D35" s="12" t="s">
        <v>34</v>
      </c>
      <c r="E35" s="13" t="s">
        <v>188</v>
      </c>
      <c r="F35" s="13" t="s">
        <v>36</v>
      </c>
      <c r="G35" s="13" t="s">
        <v>36</v>
      </c>
      <c r="H35" s="11" t="s">
        <v>36</v>
      </c>
      <c r="I35" s="13" t="s">
        <v>198</v>
      </c>
      <c r="J35" s="11" t="s">
        <v>38</v>
      </c>
      <c r="K35" s="11" t="s">
        <v>199</v>
      </c>
    </row>
    <row r="36" spans="2:11" ht="58" customHeight="1" x14ac:dyDescent="0.2">
      <c r="B36" s="10"/>
      <c r="C36" s="11" t="s">
        <v>200</v>
      </c>
      <c r="D36" s="12" t="s">
        <v>34</v>
      </c>
      <c r="E36" s="13" t="s">
        <v>188</v>
      </c>
      <c r="F36" s="13" t="s">
        <v>201</v>
      </c>
      <c r="G36" s="13" t="s">
        <v>202</v>
      </c>
      <c r="H36" s="11" t="s">
        <v>36</v>
      </c>
      <c r="I36" s="13" t="s">
        <v>203</v>
      </c>
      <c r="J36" s="11" t="s">
        <v>38</v>
      </c>
      <c r="K36" s="11" t="s">
        <v>36</v>
      </c>
    </row>
  </sheetData>
  <autoFilter ref="B1:K36" xr:uid="{00000000-0009-0000-0000-000000000000}"/>
  <dataValidations count="1">
    <dataValidation type="list" allowBlank="1" sqref="J2:J36" xr:uid="{00000000-0002-0000-0000-000000000000}">
      <formula1>"todo,submitted,live,skip,verified — optimize,later"</formula1>
    </dataValidation>
  </dataValidations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2" width="30" customWidth="1"/>
    <col min="3" max="3" width="74" customWidth="1"/>
  </cols>
  <sheetData>
    <row r="1" spans="1:3" x14ac:dyDescent="0.2">
      <c r="A1" s="14" t="s">
        <v>204</v>
      </c>
      <c r="B1" s="14" t="s">
        <v>205</v>
      </c>
      <c r="C1" s="14" t="s">
        <v>206</v>
      </c>
    </row>
    <row r="2" spans="1:3" ht="30" customHeight="1" x14ac:dyDescent="0.2">
      <c r="A2" s="15" t="s">
        <v>207</v>
      </c>
      <c r="B2" s="15" t="s">
        <v>208</v>
      </c>
      <c r="C2" s="15" t="s">
        <v>209</v>
      </c>
    </row>
    <row r="3" spans="1:3" ht="30" customHeight="1" x14ac:dyDescent="0.2">
      <c r="A3" s="15" t="s">
        <v>210</v>
      </c>
      <c r="B3" s="15" t="s">
        <v>211</v>
      </c>
      <c r="C3" s="15" t="s">
        <v>212</v>
      </c>
    </row>
    <row r="4" spans="1:3" ht="30" customHeight="1" x14ac:dyDescent="0.2">
      <c r="A4" s="15" t="s">
        <v>213</v>
      </c>
      <c r="B4" s="15" t="s">
        <v>214</v>
      </c>
      <c r="C4" s="15" t="s">
        <v>215</v>
      </c>
    </row>
    <row r="5" spans="1:3" ht="30" customHeight="1" x14ac:dyDescent="0.2">
      <c r="A5" s="15" t="s">
        <v>216</v>
      </c>
      <c r="B5" s="15" t="s">
        <v>217</v>
      </c>
      <c r="C5" s="15" t="s">
        <v>218</v>
      </c>
    </row>
    <row r="6" spans="1:3" ht="30" customHeight="1" x14ac:dyDescent="0.2">
      <c r="A6" s="15" t="s">
        <v>219</v>
      </c>
      <c r="B6" s="15" t="s">
        <v>220</v>
      </c>
      <c r="C6" s="15" t="s">
        <v>221</v>
      </c>
    </row>
    <row r="7" spans="1:3" ht="30" customHeight="1" x14ac:dyDescent="0.2">
      <c r="A7" s="15" t="s">
        <v>222</v>
      </c>
      <c r="B7" s="15" t="s">
        <v>223</v>
      </c>
      <c r="C7" s="15" t="s">
        <v>224</v>
      </c>
    </row>
    <row r="8" spans="1:3" ht="30" customHeight="1" x14ac:dyDescent="0.2">
      <c r="A8" s="15" t="s">
        <v>225</v>
      </c>
      <c r="B8" s="15" t="s">
        <v>226</v>
      </c>
      <c r="C8" s="15" t="s">
        <v>227</v>
      </c>
    </row>
    <row r="9" spans="1:3" ht="30" customHeight="1" x14ac:dyDescent="0.2">
      <c r="A9" s="15" t="s">
        <v>228</v>
      </c>
      <c r="B9" s="15" t="s">
        <v>229</v>
      </c>
      <c r="C9" s="15" t="s">
        <v>230</v>
      </c>
    </row>
    <row r="10" spans="1:3" ht="30" customHeight="1" x14ac:dyDescent="0.2">
      <c r="A10" s="15" t="s">
        <v>231</v>
      </c>
      <c r="B10" s="15" t="s">
        <v>232</v>
      </c>
      <c r="C10" s="15" t="s">
        <v>233</v>
      </c>
    </row>
    <row r="11" spans="1:3" ht="30" customHeight="1" x14ac:dyDescent="0.2">
      <c r="A11" s="15" t="s">
        <v>234</v>
      </c>
      <c r="B11" s="15" t="s">
        <v>235</v>
      </c>
      <c r="C11" s="15" t="s">
        <v>236</v>
      </c>
    </row>
    <row r="12" spans="1:3" ht="30" customHeight="1" x14ac:dyDescent="0.2">
      <c r="A12" s="15" t="s">
        <v>237</v>
      </c>
      <c r="B12" s="15" t="s">
        <v>238</v>
      </c>
      <c r="C12" s="15" t="s">
        <v>239</v>
      </c>
    </row>
    <row r="13" spans="1:3" ht="30" customHeight="1" x14ac:dyDescent="0.2">
      <c r="A13" s="15" t="s">
        <v>240</v>
      </c>
      <c r="B13" s="15" t="s">
        <v>241</v>
      </c>
      <c r="C13" s="15" t="s">
        <v>242</v>
      </c>
    </row>
    <row r="14" spans="1:3" ht="30" customHeight="1" x14ac:dyDescent="0.2">
      <c r="A14" s="15" t="s">
        <v>243</v>
      </c>
      <c r="B14" s="15" t="s">
        <v>244</v>
      </c>
      <c r="C14" s="15" t="s">
        <v>245</v>
      </c>
    </row>
    <row r="15" spans="1:3" ht="30" customHeight="1" x14ac:dyDescent="0.2">
      <c r="A15" s="15" t="s">
        <v>246</v>
      </c>
      <c r="B15" s="15" t="s">
        <v>247</v>
      </c>
      <c r="C15" s="15" t="s">
        <v>248</v>
      </c>
    </row>
    <row r="16" spans="1:3" ht="30" customHeight="1" x14ac:dyDescent="0.2">
      <c r="A16" s="15" t="s">
        <v>249</v>
      </c>
      <c r="B16" s="15" t="s">
        <v>250</v>
      </c>
      <c r="C16" s="15" t="s">
        <v>251</v>
      </c>
    </row>
    <row r="17" spans="1:3" ht="30" customHeight="1" x14ac:dyDescent="0.2">
      <c r="A17" s="15" t="s">
        <v>252</v>
      </c>
      <c r="B17" s="15" t="s">
        <v>253</v>
      </c>
      <c r="C17" s="15" t="s">
        <v>254</v>
      </c>
    </row>
    <row r="19" spans="1:3" x14ac:dyDescent="0.2">
      <c r="A19" s="16" t="s">
        <v>255</v>
      </c>
    </row>
    <row r="20" spans="1:3" x14ac:dyDescent="0.2">
      <c r="A20" s="16" t="s">
        <v>256</v>
      </c>
    </row>
    <row r="22" spans="1:3" ht="46" customHeight="1" x14ac:dyDescent="0.2">
      <c r="A22" s="24" t="s">
        <v>257</v>
      </c>
    </row>
  </sheetData>
  <autoFilter ref="A1:C1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"/>
  <sheetViews>
    <sheetView workbookViewId="0"/>
  </sheetViews>
  <sheetFormatPr baseColWidth="10" defaultColWidth="8.83203125" defaultRowHeight="15" x14ac:dyDescent="0.2"/>
  <cols>
    <col min="1" max="1" width="26" customWidth="1"/>
    <col min="2" max="2" width="14" customWidth="1"/>
    <col min="3" max="3" width="78" customWidth="1"/>
  </cols>
  <sheetData>
    <row r="1" spans="1:3" ht="17" x14ac:dyDescent="0.2">
      <c r="A1" s="17" t="s">
        <v>258</v>
      </c>
    </row>
    <row r="2" spans="1:3" x14ac:dyDescent="0.2">
      <c r="A2" s="18" t="s">
        <v>259</v>
      </c>
      <c r="B2" s="18" t="s">
        <v>260</v>
      </c>
    </row>
    <row r="3" spans="1:3" x14ac:dyDescent="0.2">
      <c r="A3" s="19" t="s">
        <v>17</v>
      </c>
      <c r="B3" s="19">
        <f>COUNTIF(Submissions!J:J,"todo")</f>
        <v>17</v>
      </c>
    </row>
    <row r="4" spans="1:3" x14ac:dyDescent="0.2">
      <c r="A4" s="19" t="s">
        <v>261</v>
      </c>
      <c r="B4" s="19">
        <f>COUNTIF(Submissions!J:J,"submitted")</f>
        <v>0</v>
      </c>
    </row>
    <row r="5" spans="1:3" x14ac:dyDescent="0.2">
      <c r="A5" s="19" t="s">
        <v>24</v>
      </c>
      <c r="B5" s="19">
        <f>COUNTIF(Submissions!J:J,"live")</f>
        <v>1</v>
      </c>
    </row>
    <row r="6" spans="1:3" x14ac:dyDescent="0.2">
      <c r="A6" s="19" t="s">
        <v>262</v>
      </c>
      <c r="B6" s="19">
        <f>COUNTIF(Submissions!J:J,"skip")</f>
        <v>15</v>
      </c>
    </row>
    <row r="7" spans="1:3" x14ac:dyDescent="0.2">
      <c r="A7" s="19" t="s">
        <v>263</v>
      </c>
      <c r="B7" s="19">
        <f>COUNTIF(Submissions!D:D,"DO")</f>
        <v>9</v>
      </c>
    </row>
    <row r="9" spans="1:3" ht="17" x14ac:dyDescent="0.2">
      <c r="A9" s="17" t="s">
        <v>264</v>
      </c>
    </row>
    <row r="10" spans="1:3" x14ac:dyDescent="0.2">
      <c r="A10" s="18" t="s">
        <v>265</v>
      </c>
      <c r="C10" s="20" t="s">
        <v>266</v>
      </c>
    </row>
    <row r="11" spans="1:3" ht="28" x14ac:dyDescent="0.2">
      <c r="A11" s="18" t="s">
        <v>267</v>
      </c>
      <c r="C11" s="20" t="s">
        <v>268</v>
      </c>
    </row>
    <row r="12" spans="1:3" x14ac:dyDescent="0.2">
      <c r="A12" s="18" t="s">
        <v>269</v>
      </c>
      <c r="C12" s="20" t="s">
        <v>270</v>
      </c>
    </row>
    <row r="13" spans="1:3" ht="28" x14ac:dyDescent="0.2">
      <c r="A13" s="18" t="s">
        <v>271</v>
      </c>
      <c r="C13" s="20" t="s">
        <v>272</v>
      </c>
    </row>
    <row r="14" spans="1:3" x14ac:dyDescent="0.2">
      <c r="A14" s="18" t="s">
        <v>273</v>
      </c>
      <c r="C14" s="20" t="s">
        <v>274</v>
      </c>
    </row>
    <row r="17" spans="1:3" ht="17" x14ac:dyDescent="0.2">
      <c r="A17" s="17" t="s">
        <v>275</v>
      </c>
    </row>
    <row r="18" spans="1:3" ht="28" customHeight="1" x14ac:dyDescent="0.2">
      <c r="C18" s="20" t="s">
        <v>276</v>
      </c>
    </row>
    <row r="19" spans="1:3" ht="28" customHeight="1" x14ac:dyDescent="0.2">
      <c r="C19" s="20" t="s">
        <v>277</v>
      </c>
    </row>
    <row r="20" spans="1:3" ht="28" customHeight="1" x14ac:dyDescent="0.2">
      <c r="C20" s="20" t="s">
        <v>278</v>
      </c>
    </row>
    <row r="21" spans="1:3" ht="28" customHeight="1" x14ac:dyDescent="0.2">
      <c r="C21" s="20" t="s">
        <v>279</v>
      </c>
    </row>
    <row r="22" spans="1:3" ht="28" customHeight="1" x14ac:dyDescent="0.2">
      <c r="C22" s="20" t="s">
        <v>280</v>
      </c>
    </row>
    <row r="23" spans="1:3" ht="28" customHeight="1" x14ac:dyDescent="0.2">
      <c r="C23" s="20" t="s">
        <v>281</v>
      </c>
    </row>
    <row r="25" spans="1:3" ht="44" customHeight="1" x14ac:dyDescent="0.2">
      <c r="A25" s="17" t="s">
        <v>282</v>
      </c>
      <c r="C25" s="21" t="s">
        <v>283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96" customWidth="1"/>
  </cols>
  <sheetData>
    <row r="1" spans="1:2" ht="24" customHeight="1" x14ac:dyDescent="0.2">
      <c r="A1" s="14" t="s">
        <v>284</v>
      </c>
      <c r="B1" s="14" t="s">
        <v>285</v>
      </c>
    </row>
    <row r="2" spans="1:2" ht="18" customHeight="1" x14ac:dyDescent="0.2">
      <c r="A2" s="25" t="s">
        <v>286</v>
      </c>
      <c r="B2" s="26"/>
    </row>
    <row r="3" spans="1:2" ht="22" customHeight="1" x14ac:dyDescent="0.2">
      <c r="A3" s="27" t="s">
        <v>287</v>
      </c>
      <c r="B3" s="28" t="s">
        <v>288</v>
      </c>
    </row>
    <row r="4" spans="1:2" ht="28" customHeight="1" x14ac:dyDescent="0.2">
      <c r="A4" s="29" t="s">
        <v>289</v>
      </c>
      <c r="B4" s="15" t="s">
        <v>290</v>
      </c>
    </row>
    <row r="5" spans="1:2" ht="28" customHeight="1" x14ac:dyDescent="0.2">
      <c r="A5" s="29" t="s">
        <v>291</v>
      </c>
      <c r="B5" s="15" t="s">
        <v>292</v>
      </c>
    </row>
    <row r="6" spans="1:2" ht="28" customHeight="1" x14ac:dyDescent="0.2">
      <c r="A6" s="29" t="s">
        <v>293</v>
      </c>
      <c r="B6" s="15" t="s">
        <v>294</v>
      </c>
    </row>
    <row r="7" spans="1:2" ht="28" customHeight="1" x14ac:dyDescent="0.2">
      <c r="A7" s="29" t="s">
        <v>295</v>
      </c>
      <c r="B7" s="15" t="s">
        <v>296</v>
      </c>
    </row>
    <row r="8" spans="1:2" ht="22" customHeight="1" x14ac:dyDescent="0.2">
      <c r="A8" s="29" t="s">
        <v>297</v>
      </c>
      <c r="B8" s="15" t="s">
        <v>298</v>
      </c>
    </row>
    <row r="9" spans="1:2" ht="18" customHeight="1" x14ac:dyDescent="0.2">
      <c r="A9" s="25" t="s">
        <v>299</v>
      </c>
      <c r="B9" s="26"/>
    </row>
    <row r="10" spans="1:2" ht="22" customHeight="1" x14ac:dyDescent="0.2">
      <c r="A10" s="29" t="s">
        <v>300</v>
      </c>
      <c r="B10" s="15" t="s">
        <v>301</v>
      </c>
    </row>
    <row r="11" spans="1:2" ht="22" customHeight="1" x14ac:dyDescent="0.2">
      <c r="A11" s="29" t="s">
        <v>302</v>
      </c>
      <c r="B11" s="15" t="s">
        <v>303</v>
      </c>
    </row>
    <row r="12" spans="1:2" ht="41" customHeight="1" x14ac:dyDescent="0.2">
      <c r="A12" s="29" t="s">
        <v>304</v>
      </c>
      <c r="B12" s="15" t="s">
        <v>305</v>
      </c>
    </row>
    <row r="13" spans="1:2" ht="80" customHeight="1" x14ac:dyDescent="0.2">
      <c r="A13" s="29" t="s">
        <v>306</v>
      </c>
      <c r="B13" s="15" t="s">
        <v>307</v>
      </c>
    </row>
    <row r="14" spans="1:2" ht="80" customHeight="1" x14ac:dyDescent="0.2">
      <c r="A14" s="29" t="s">
        <v>308</v>
      </c>
      <c r="B14" s="15" t="s">
        <v>309</v>
      </c>
    </row>
    <row r="15" spans="1:2" ht="41" customHeight="1" x14ac:dyDescent="0.2">
      <c r="A15" s="29" t="s">
        <v>310</v>
      </c>
      <c r="B15" s="15" t="s">
        <v>311</v>
      </c>
    </row>
    <row r="16" spans="1:2" ht="190" customHeight="1" x14ac:dyDescent="0.2">
      <c r="A16" s="29" t="s">
        <v>312</v>
      </c>
      <c r="B16" s="15" t="s">
        <v>313</v>
      </c>
    </row>
    <row r="17" spans="1:2" ht="18" customHeight="1" x14ac:dyDescent="0.2">
      <c r="A17" s="25" t="s">
        <v>314</v>
      </c>
      <c r="B17" s="26"/>
    </row>
    <row r="18" spans="1:2" ht="28" customHeight="1" x14ac:dyDescent="0.2">
      <c r="A18" s="29" t="s">
        <v>26</v>
      </c>
      <c r="B18" s="15" t="s">
        <v>315</v>
      </c>
    </row>
    <row r="19" spans="1:2" ht="41" customHeight="1" x14ac:dyDescent="0.2">
      <c r="A19" s="29" t="s">
        <v>316</v>
      </c>
      <c r="B19" s="15" t="s">
        <v>317</v>
      </c>
    </row>
    <row r="20" spans="1:2" ht="28" customHeight="1" x14ac:dyDescent="0.2">
      <c r="A20" s="29" t="s">
        <v>318</v>
      </c>
      <c r="B20" s="15" t="s">
        <v>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Submissions</vt:lpstr>
      <vt:lpstr>AlternativeTo tags</vt:lpstr>
      <vt:lpstr>Progress &amp; notes</vt:lpstr>
      <vt:lpstr>Tags &amp;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2026-07-29T17:41:28Z</dcterms:created>
  <dcterms:modified xsi:type="dcterms:W3CDTF">2026-07-29T23:45:06Z</dcterms:modified>
</cp:coreProperties>
</file>