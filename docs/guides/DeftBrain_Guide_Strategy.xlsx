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  <sheet name="Tool Fitness" sheetId="3" state="visible" r:id="rId5"/>
    <sheet name="Legend" sheetId="4" state="visible" r:id="rId6"/>
  </sheets>
  <definedNames>
    <definedName function="false" hidden="true" localSheetId="0" name="_xlnm._FilterDatabase" vbProcedure="false">Backlog!$A$1:$I$232</definedName>
    <definedName function="false" hidden="true" localSheetId="2" name="_xlnm._FilterDatabase" vbProcedure="false">'Tool Fitness'!$A$1:$F$119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<sst xmlns="http://schemas.openxmlformats.org/spreadsheetml/2006/main" count="2499" uniqueCount="1003">
  <si>
    <t xml:space="preserve">ID</t>
  </si>
  <si>
    <t xml:space="preserve">Tool</t>
  </si>
  <si>
    <t xml:space="preserve">Cluster</t>
  </si>
  <si>
    <t xml:space="preserve">Query (Guide Title)</t>
  </si>
  <si>
    <t xml:space="preserve">Slug</t>
  </si>
  <si>
    <t xml:space="preserve">Category</t>
  </si>
  <si>
    <t xml:space="preserve">Priority</t>
  </si>
  <si>
    <t xml:space="preserve">Status</t>
  </si>
  <si>
    <t xml:space="preserve">Notes</t>
  </si>
  <si>
    <t xml:space="preserve">DifficultTalkCoach</t>
  </si>
  <si>
    <t xml:space="preserve">Upward</t>
  </si>
  <si>
    <t xml:space="preserve">How to tell your boss they're wrong</t>
  </si>
  <si>
    <t xml:space="preserve">how-to-tell-your-boss-theyre-wrong</t>
  </si>
  <si>
    <t xml:space="preserve">workplace</t>
  </si>
  <si>
    <t xml:space="preserve">High</t>
  </si>
  <si>
    <t xml:space="preserve">Shipped</t>
  </si>
  <si>
    <t xml:space="preserve">Anchor guide / exemplar</t>
  </si>
  <si>
    <t xml:space="preserve">How to say no to your boss</t>
  </si>
  <si>
    <t xml:space="preserve">how-to-say-no-to-your-boss</t>
  </si>
  <si>
    <t xml:space="preserve">How to push back on your boss professionally</t>
  </si>
  <si>
    <t xml:space="preserve">how-to-push-back-on-your-boss-professionally</t>
  </si>
  <si>
    <t xml:space="preserve">How to tell your boss a deadline is unrealistic</t>
  </si>
  <si>
    <t xml:space="preserve">how-to-tell-your-boss-a-deadline-is-unrealistic</t>
  </si>
  <si>
    <t xml:space="preserve">How to tell your manager their feedback is unfair</t>
  </si>
  <si>
    <t xml:space="preserve">how-to-tell-your-manager-their-feedback-is-unfair</t>
  </si>
  <si>
    <t xml:space="preserve">How to ask your boss for a raise</t>
  </si>
  <si>
    <t xml:space="preserve">how-to-ask-your-boss-for-a-raise</t>
  </si>
  <si>
    <t xml:space="preserve">Candidate</t>
  </si>
  <si>
    <t xml:space="preserve">Highest-volume query in this family</t>
  </si>
  <si>
    <t xml:space="preserve">How to tell your boss you're burned out</t>
  </si>
  <si>
    <t xml:space="preserve">how-to-tell-your-boss-youre-burned-out</t>
  </si>
  <si>
    <t xml:space="preserve">Rising trend, emotionally loaded</t>
  </si>
  <si>
    <t xml:space="preserve">How to tell your boss you made a mistake</t>
  </si>
  <si>
    <t xml:space="preserve">how-to-tell-your-boss-you-made-a-mistake</t>
  </si>
  <si>
    <t xml:space="preserve">Classic stakes moment</t>
  </si>
  <si>
    <t xml:space="preserve">How to tell your boss you're quitting</t>
  </si>
  <si>
    <t xml:space="preserve">how-to-tell-your-boss-youre-quitting</t>
  </si>
  <si>
    <t xml:space="preserve">Commercial intent, evergreen</t>
  </si>
  <si>
    <t xml:space="preserve">Lateral</t>
  </si>
  <si>
    <t xml:space="preserve">How to tell a coworker they're being rude</t>
  </si>
  <si>
    <t xml:space="preserve">how-to-tell-a-coworker-theyre-being-rude</t>
  </si>
  <si>
    <t xml:space="preserve">Classic query</t>
  </si>
  <si>
    <t xml:space="preserve">How to handle a coworker who takes credit for your work</t>
  </si>
  <si>
    <t xml:space="preserve">how-to-handle-a-coworker-who-takes-credit-for-your-work</t>
  </si>
  <si>
    <t xml:space="preserve">Evergreen, high volume</t>
  </si>
  <si>
    <t xml:space="preserve">How to respond to a passive aggressive email</t>
  </si>
  <si>
    <t xml:space="preserve">how-to-respond-to-a-passive-aggressive-email</t>
  </si>
  <si>
    <t xml:space="preserve">Directly quoted in audience report</t>
  </si>
  <si>
    <t xml:space="preserve">How to tell a coworker they smell</t>
  </si>
  <si>
    <t xml:space="preserve">how-to-tell-a-coworker-they-smell</t>
  </si>
  <si>
    <t xml:space="preserve">High volume, real pain</t>
  </si>
  <si>
    <t xml:space="preserve">How to deal with a coworker who talks too much in meetings</t>
  </si>
  <si>
    <t xml:space="preserve">how-to-deal-with-a-coworker-who-talks-too-much-in-meetings</t>
  </si>
  <si>
    <t xml:space="preserve">Specific, recognizable</t>
  </si>
  <si>
    <t xml:space="preserve">How to confront a coworker about their behavior</t>
  </si>
  <si>
    <t xml:space="preserve">how-to-confront-a-coworker-about-their-behavior</t>
  </si>
  <si>
    <t xml:space="preserve">Broad umbrella query</t>
  </si>
  <si>
    <t xml:space="preserve">Downward</t>
  </si>
  <si>
    <t xml:space="preserve">How to give constructive criticism to an employee</t>
  </si>
  <si>
    <t xml:space="preserve">how-to-give-constructive-criticism-to-an-employee</t>
  </si>
  <si>
    <t xml:space="preserve">Evergreen management query</t>
  </si>
  <si>
    <t xml:space="preserve">How to tell an employee their performance is slipping</t>
  </si>
  <si>
    <t xml:space="preserve">how-to-tell-an-employee-their-performance-is-slipping</t>
  </si>
  <si>
    <t xml:space="preserve">Classic moment</t>
  </si>
  <si>
    <t xml:space="preserve">How to have a hard conversation with an underperforming employee</t>
  </si>
  <si>
    <t xml:space="preserve">how-to-have-a-hard-conversation-with-an-underperforming-employee</t>
  </si>
  <si>
    <t xml:space="preserve">Broader umbrella</t>
  </si>
  <si>
    <t xml:space="preserve">How to fire someone compassionately</t>
  </si>
  <si>
    <t xml:space="preserve">how-to-fire-someone-compassionately</t>
  </si>
  <si>
    <t xml:space="preserve">High-volume, high-stakes</t>
  </si>
  <si>
    <t xml:space="preserve">Partner</t>
  </si>
  <si>
    <t xml:space="preserve">How to have the money conversation with your partner</t>
  </si>
  <si>
    <t xml:space="preserve">how-to-have-the-money-conversation-with-your-partner</t>
  </si>
  <si>
    <t xml:space="preserve">conversations</t>
  </si>
  <si>
    <t xml:space="preserve">Evergreen top-of-funnel</t>
  </si>
  <si>
    <t xml:space="preserve">How to tell your partner you're not happy</t>
  </si>
  <si>
    <t xml:space="preserve">how-to-tell-your-partner-youre-not-happy</t>
  </si>
  <si>
    <t xml:space="preserve">Hard, searched often</t>
  </si>
  <si>
    <t xml:space="preserve">How to tell your partner you need space</t>
  </si>
  <si>
    <t xml:space="preserve">how-to-tell-your-partner-you-need-space</t>
  </si>
  <si>
    <t xml:space="preserve">Common breaking-point query</t>
  </si>
  <si>
    <t xml:space="preserve">How to tell your partner you don't want kids</t>
  </si>
  <si>
    <t xml:space="preserve">how-to-tell-your-partner-you-dont-want-kids</t>
  </si>
  <si>
    <t xml:space="preserve">Major life-decision moment</t>
  </si>
  <si>
    <t xml:space="preserve">How to bring up something that's been bothering you in a relationship</t>
  </si>
  <si>
    <t xml:space="preserve">how-to-bring-up-something-thats-been-bothering-you-in-a-relationship</t>
  </si>
  <si>
    <t xml:space="preserve">Umbrella, broad intent</t>
  </si>
  <si>
    <t xml:space="preserve">Family</t>
  </si>
  <si>
    <t xml:space="preserve">How to set boundaries with your parents</t>
  </si>
  <si>
    <t xml:space="preserve">how-to-set-boundaries-with-your-parents</t>
  </si>
  <si>
    <t xml:space="preserve">Therapy-language crossover, huge volume</t>
  </si>
  <si>
    <t xml:space="preserve">How to tell your parents you're moving far away</t>
  </si>
  <si>
    <t xml:space="preserve">how-to-tell-your-parents-youre-moving-far-away</t>
  </si>
  <si>
    <t xml:space="preserve">Classic adult-child moment</t>
  </si>
  <si>
    <t xml:space="preserve">How to tell your parents you don't want to visit for the holidays</t>
  </si>
  <si>
    <t xml:space="preserve">how-to-tell-your-parents-you-dont-want-to-visit-for-the-holidays</t>
  </si>
  <si>
    <t xml:space="preserve">Seasonal but evergreen</t>
  </si>
  <si>
    <t xml:space="preserve">How to tell your mother she's being controlling</t>
  </si>
  <si>
    <t xml:space="preserve">how-to-tell-your-mother-shes-being-controlling</t>
  </si>
  <si>
    <t xml:space="preserve">Specific, real</t>
  </si>
  <si>
    <t xml:space="preserve">Friends</t>
  </si>
  <si>
    <t xml:space="preserve">How to tell a friend you can't keep being their sounding board</t>
  </si>
  <si>
    <t xml:space="preserve">how-to-tell-a-friend-you-cant-keep-being-their-sounding-board</t>
  </si>
  <si>
    <t xml:space="preserve">Friendship burnout, common</t>
  </si>
  <si>
    <t xml:space="preserve">How to tell a friend they're being a bad friend</t>
  </si>
  <si>
    <t xml:space="preserve">how-to-tell-a-friend-theyre-being-a-bad-friend</t>
  </si>
  <si>
    <t xml:space="preserve">Direct, searched</t>
  </si>
  <si>
    <t xml:space="preserve">How to end a friendship without drama</t>
  </si>
  <si>
    <t xml:space="preserve">how-to-end-a-friendship-without-drama</t>
  </si>
  <si>
    <t xml:space="preserve">'Friendship breakup' is a real concept</t>
  </si>
  <si>
    <t xml:space="preserve">How to tell a friend you don't like their partner</t>
  </si>
  <si>
    <t xml:space="preserve">how-to-tell-a-friend-you-dont-like-their-partner</t>
  </si>
  <si>
    <t xml:space="preserve">Classic dilemma</t>
  </si>
  <si>
    <t xml:space="preserve">Hard news</t>
  </si>
  <si>
    <t xml:space="preserve">How to tell someone a loved one died</t>
  </si>
  <si>
    <t xml:space="preserve">how-to-tell-someone-a-loved-one-died</t>
  </si>
  <si>
    <t xml:space="preserve">VOICE: no dry humor. Full empathy register.</t>
  </si>
  <si>
    <t xml:space="preserve">How to tell your kids you're getting divorced</t>
  </si>
  <si>
    <t xml:space="preserve">how-to-tell-your-kids-youre-getting-divorced</t>
  </si>
  <si>
    <t xml:space="preserve">How to tell your family you have cancer</t>
  </si>
  <si>
    <t xml:space="preserve">how-to-tell-your-family-you-have-cancer</t>
  </si>
  <si>
    <t xml:space="preserve">Asking</t>
  </si>
  <si>
    <t xml:space="preserve">How to ask for a refund when a company won't give you one</t>
  </si>
  <si>
    <t xml:space="preserve">how-to-ask-for-a-refund-when-a-company-wont-give-you-one</t>
  </si>
  <si>
    <t xml:space="preserve">OVERLAP: possible MarkupDetective fit</t>
  </si>
  <si>
    <t xml:space="preserve">How to ask a neighbor to keep the noise down</t>
  </si>
  <si>
    <t xml:space="preserve">how-to-ask-a-neighbor-to-keep-the-noise-down</t>
  </si>
  <si>
    <t xml:space="preserve">Universal moment</t>
  </si>
  <si>
    <t xml:space="preserve">How to ask your landlord for repairs</t>
  </si>
  <si>
    <t xml:space="preserve">how-to-ask-your-landlord-for-repairs</t>
  </si>
  <si>
    <t xml:space="preserve">OVERLAP: possible LeaseTrapDetector fit</t>
  </si>
  <si>
    <t xml:space="preserve">How to ask a friend to pay you back</t>
  </si>
  <si>
    <t xml:space="preserve">how-to-ask-a-friend-to-pay-you-back</t>
  </si>
  <si>
    <t xml:space="preserve">Classic awkward</t>
  </si>
  <si>
    <t xml:space="preserve">Saying no</t>
  </si>
  <si>
    <t xml:space="preserve">How to say no without feeling guilty</t>
  </si>
  <si>
    <t xml:space="preserve">how-to-say-no-without-feeling-guilty</t>
  </si>
  <si>
    <t xml:space="preserve">Broad, high volume</t>
  </si>
  <si>
    <t xml:space="preserve">How to decline a wedding invitation politely</t>
  </si>
  <si>
    <t xml:space="preserve">how-to-decline-a-wedding-invitation-politely</t>
  </si>
  <si>
    <t xml:space="preserve">Specific, seasonally relevant</t>
  </si>
  <si>
    <t xml:space="preserve">How to turn down a job offer gracefully</t>
  </si>
  <si>
    <t xml:space="preserve">how-to-turn-down-a-job-offer-gracefully</t>
  </si>
  <si>
    <t xml:space="preserve">Career moment</t>
  </si>
  <si>
    <t xml:space="preserve">Apology</t>
  </si>
  <si>
    <t xml:space="preserve">How to apologize without making excuses</t>
  </si>
  <si>
    <t xml:space="preserve">how-to-apologize-without-making-excuses</t>
  </si>
  <si>
    <t xml:space="preserve">Evergreen</t>
  </si>
  <si>
    <t xml:space="preserve">How to tell your boss you disagree with a decision already made</t>
  </si>
  <si>
    <t xml:space="preserve">how-to-tell-your-boss-you-disagree-with-a-decision-already-made</t>
  </si>
  <si>
    <t xml:space="preserve">Low</t>
  </si>
  <si>
    <t xml:space="preserve">Nuanced but niche</t>
  </si>
  <si>
    <t xml:space="preserve">How to tell a coworker you don't want to hang out outside of work</t>
  </si>
  <si>
    <t xml:space="preserve">how-to-tell-a-coworker-you-dont-want-to-hang-out-outside-of-work</t>
  </si>
  <si>
    <t xml:space="preserve">Specific but niche</t>
  </si>
  <si>
    <t xml:space="preserve">How to deliver bad news to your team</t>
  </si>
  <si>
    <t xml:space="preserve">how-to-deliver-bad-news-to-your-team</t>
  </si>
  <si>
    <t xml:space="preserve">More group than 1:1</t>
  </si>
  <si>
    <t xml:space="preserve">How to ask your partner to do more around the house</t>
  </si>
  <si>
    <t xml:space="preserve">how-to-ask-your-partner-to-do-more-around-the-house</t>
  </si>
  <si>
    <t xml:space="preserve">Domestic-labor classic</t>
  </si>
  <si>
    <t xml:space="preserve">How to tell your parents you can't take care of them anymore</t>
  </si>
  <si>
    <t xml:space="preserve">how-to-tell-your-parents-you-cant-take-care-of-them-anymore</t>
  </si>
  <si>
    <t xml:space="preserve">Elder-care, hard</t>
  </si>
  <si>
    <t xml:space="preserve">How to tell a friend you need a break from the friendship</t>
  </si>
  <si>
    <t xml:space="preserve">how-to-tell-a-friend-you-need-a-break-from-the-friendship</t>
  </si>
  <si>
    <t xml:space="preserve">Similar to ending a friendship</t>
  </si>
  <si>
    <t xml:space="preserve">How to disagree with your boss in a meeting</t>
  </si>
  <si>
    <t xml:space="preserve">how-to-disagree-with-your-boss-in-a-meeting</t>
  </si>
  <si>
    <t xml:space="preserve">Medium</t>
  </si>
  <si>
    <t xml:space="preserve">Distinct from #1 (public vs. private)</t>
  </si>
  <si>
    <t xml:space="preserve">How to ask your boss for time off last minute</t>
  </si>
  <si>
    <t xml:space="preserve">how-to-ask-your-boss-for-time-off-last-minute</t>
  </si>
  <si>
    <t xml:space="preserve">Specific, low-competition</t>
  </si>
  <si>
    <t xml:space="preserve">How to tell your boss you need mental health time</t>
  </si>
  <si>
    <t xml:space="preserve">how-to-tell-your-boss-you-need-mental-health-time</t>
  </si>
  <si>
    <t xml:space="preserve">Growing query</t>
  </si>
  <si>
    <t xml:space="preserve">How to ask your boss for clearer direction</t>
  </si>
  <si>
    <t xml:space="preserve">how-to-ask-your-boss-for-clearer-direction</t>
  </si>
  <si>
    <t xml:space="preserve">Vague-manager pain</t>
  </si>
  <si>
    <t xml:space="preserve">How to tell a coworker to stop interrupting you</t>
  </si>
  <si>
    <t xml:space="preserve">how-to-tell-a-coworker-to-stop-interrupting-you</t>
  </si>
  <si>
    <t xml:space="preserve">Specific moment</t>
  </si>
  <si>
    <t xml:space="preserve">How to tell a coworker their work isn't good enough</t>
  </si>
  <si>
    <t xml:space="preserve">how-to-tell-a-coworker-their-work-isnt-good-enough</t>
  </si>
  <si>
    <t xml:space="preserve">Peer-review moments</t>
  </si>
  <si>
    <t xml:space="preserve">How to respond when a coworker blames you for something</t>
  </si>
  <si>
    <t xml:space="preserve">how-to-respond-when-a-coworker-blames-you-for-something</t>
  </si>
  <si>
    <t xml:space="preserve">Defense + de-escalation</t>
  </si>
  <si>
    <t xml:space="preserve">How to tell a coworker you can't keep covering for them</t>
  </si>
  <si>
    <t xml:space="preserve">how-to-tell-a-coworker-you-cant-keep-covering-for-them</t>
  </si>
  <si>
    <t xml:space="preserve">Boundary-setting</t>
  </si>
  <si>
    <t xml:space="preserve">How to handle a coworker who won't pull their weight</t>
  </si>
  <si>
    <t xml:space="preserve">how-to-handle-a-coworker-who-wont-pull-their-weight</t>
  </si>
  <si>
    <t xml:space="preserve">Related to previous</t>
  </si>
  <si>
    <t xml:space="preserve">How to tell a coworker they're being inappropriate</t>
  </si>
  <si>
    <t xml:space="preserve">how-to-tell-a-coworker-theyre-being-inappropriate</t>
  </si>
  <si>
    <t xml:space="preserve">Sensitive</t>
  </si>
  <si>
    <t xml:space="preserve">How to address a coworker's mistake without making it awkward</t>
  </si>
  <si>
    <t xml:space="preserve">how-to-address-a-coworkers-mistake-without-making-it-awkward</t>
  </si>
  <si>
    <t xml:space="preserve">Preserves the relationship</t>
  </si>
  <si>
    <t xml:space="preserve">How to tell an employee they didn't get the promotion</t>
  </si>
  <si>
    <t xml:space="preserve">how-to-tell-an-employee-they-didnt-get-the-promotion</t>
  </si>
  <si>
    <t xml:space="preserve">How to tell an employee about a pay cut</t>
  </si>
  <si>
    <t xml:space="preserve">how-to-tell-an-employee-about-a-pay-cut</t>
  </si>
  <si>
    <t xml:space="preserve">Sensitive economic moment</t>
  </si>
  <si>
    <t xml:space="preserve">How to give difficult feedback without demoralizing someone</t>
  </si>
  <si>
    <t xml:space="preserve">how-to-give-difficult-feedback-without-demoralizing-someone</t>
  </si>
  <si>
    <t xml:space="preserve">Perennial management concern</t>
  </si>
  <si>
    <t xml:space="preserve">How to tell an employee to improve their hygiene</t>
  </si>
  <si>
    <t xml:space="preserve">how-to-tell-an-employee-to-improve-their-hygiene</t>
  </si>
  <si>
    <t xml:space="preserve">Real, searched, awkward</t>
  </si>
  <si>
    <t xml:space="preserve">How to tell an employee their attitude is a problem</t>
  </si>
  <si>
    <t xml:space="preserve">how-to-tell-an-employee-their-attitude-is-a-problem</t>
  </si>
  <si>
    <t xml:space="preserve">Soft-skills territory</t>
  </si>
  <si>
    <t xml:space="preserve">How to tell your partner their family is a problem</t>
  </si>
  <si>
    <t xml:space="preserve">how-to-tell-your-partner-their-family-is-a-problem</t>
  </si>
  <si>
    <t xml:space="preserve">In-law territory</t>
  </si>
  <si>
    <t xml:space="preserve">How to tell your spouse you want a divorce</t>
  </si>
  <si>
    <t xml:space="preserve">how-to-tell-your-spouse-you-want-a-divorce</t>
  </si>
  <si>
    <t xml:space="preserve">Legal-adjacent, sensitive</t>
  </si>
  <si>
    <t xml:space="preserve">How to tell your partner you cheated</t>
  </si>
  <si>
    <t xml:space="preserve">how-to-tell-your-partner-you-cheated</t>
  </si>
  <si>
    <t xml:space="preserve">High-stakes, emotionally loaded</t>
  </si>
  <si>
    <t xml:space="preserve">How to talk to your partner about their drinking</t>
  </si>
  <si>
    <t xml:space="preserve">how-to-talk-to-your-partner-about-their-drinking</t>
  </si>
  <si>
    <t xml:space="preserve">Addiction-adjacent</t>
  </si>
  <si>
    <t xml:space="preserve">How to tell your partner you're not attracted to them anymore</t>
  </si>
  <si>
    <t xml:space="preserve">how-to-tell-your-partner-youre-not-attracted-to-them-anymore</t>
  </si>
  <si>
    <t xml:space="preserve">Deeply uncomfortable but searched</t>
  </si>
  <si>
    <t xml:space="preserve">How to tell your partner you need therapy</t>
  </si>
  <si>
    <t xml:space="preserve">how-to-tell-your-partner-you-need-therapy</t>
  </si>
  <si>
    <t xml:space="preserve">Growing acceptance of therapy</t>
  </si>
  <si>
    <t xml:space="preserve">How to tell your partner you're struggling financially</t>
  </si>
  <si>
    <t xml:space="preserve">how-to-tell-your-partner-youre-struggling-financially</t>
  </si>
  <si>
    <t xml:space="preserve">Economic anxiety moment</t>
  </si>
  <si>
    <t xml:space="preserve">How to tell your parents you're getting divorced</t>
  </si>
  <si>
    <t xml:space="preserve">how-to-tell-your-parents-youre-getting-divorced</t>
  </si>
  <si>
    <t xml:space="preserve">Family-news moment</t>
  </si>
  <si>
    <t xml:space="preserve">How to tell your parents about a major life change</t>
  </si>
  <si>
    <t xml:space="preserve">how-to-tell-your-parents-about-a-major-life-change</t>
  </si>
  <si>
    <t xml:space="preserve">Umbrella</t>
  </si>
  <si>
    <t xml:space="preserve">How to tell your adult child they're making a mistake</t>
  </si>
  <si>
    <t xml:space="preserve">how-to-tell-your-adult-child-theyre-making-a-mistake</t>
  </si>
  <si>
    <t xml:space="preserve">Reverse direction — parent side</t>
  </si>
  <si>
    <t xml:space="preserve">How to tell a sibling they're being taken advantage of</t>
  </si>
  <si>
    <t xml:space="preserve">how-to-tell-a-sibling-theyre-being-taken-advantage-of</t>
  </si>
  <si>
    <t xml:space="preserve">Sibling dynamic</t>
  </si>
  <si>
    <t xml:space="preserve">How to confront a family member about their behavior at a holiday</t>
  </si>
  <si>
    <t xml:space="preserve">how-to-confront-a-family-member-about-their-behavior-at-a-holiday</t>
  </si>
  <si>
    <t xml:space="preserve">Seasonally spiking</t>
  </si>
  <si>
    <t xml:space="preserve">How to tell your parents you're gay</t>
  </si>
  <si>
    <t xml:space="preserve">how-to-tell-your-parents-youre-gay</t>
  </si>
  <si>
    <t xml:space="preserve">Evergreen, emotionally critical</t>
  </si>
  <si>
    <t xml:space="preserve">How to talk to an aging parent about giving up driving</t>
  </si>
  <si>
    <t xml:space="preserve">how-to-talk-to-an-aging-parent-about-giving-up-driving</t>
  </si>
  <si>
    <t xml:space="preserve">Elder-care moment</t>
  </si>
  <si>
    <t xml:space="preserve">How to tell a friend they drink too much</t>
  </si>
  <si>
    <t xml:space="preserve">how-to-tell-a-friend-they-drink-too-much</t>
  </si>
  <si>
    <t xml:space="preserve">How to tell a friend you can't lend them money</t>
  </si>
  <si>
    <t xml:space="preserve">how-to-tell-a-friend-you-cant-lend-them-money</t>
  </si>
  <si>
    <t xml:space="preserve">Financial boundary</t>
  </si>
  <si>
    <t xml:space="preserve">How to confront a friend who lied to you</t>
  </si>
  <si>
    <t xml:space="preserve">how-to-confront-a-friend-who-lied-to-you</t>
  </si>
  <si>
    <t xml:space="preserve">Trust-repair</t>
  </si>
  <si>
    <t xml:space="preserve">How to tell a friend you're not going to their wedding</t>
  </si>
  <si>
    <t xml:space="preserve">how-to-tell-a-friend-youre-not-going-to-their-wedding</t>
  </si>
  <si>
    <t xml:space="preserve">Specific, high-stakes social</t>
  </si>
  <si>
    <t xml:space="preserve">How to tell your parents you lost your job</t>
  </si>
  <si>
    <t xml:space="preserve">how-to-tell-your-parents-you-lost-your-job</t>
  </si>
  <si>
    <t xml:space="preserve">Common but painful</t>
  </si>
  <si>
    <t xml:space="preserve">How to tell someone their pet died</t>
  </si>
  <si>
    <t xml:space="preserve">how-to-tell-someone-their-pet-died</t>
  </si>
  <si>
    <t xml:space="preserve">Hard, specific</t>
  </si>
  <si>
    <t xml:space="preserve">How to break bad news gently</t>
  </si>
  <si>
    <t xml:space="preserve">how-to-break-bad-news-gently</t>
  </si>
  <si>
    <t xml:space="preserve">Umbrella meta-query</t>
  </si>
  <si>
    <t xml:space="preserve">How to ask for help when you're struggling</t>
  </si>
  <si>
    <t xml:space="preserve">how-to-ask-for-help-when-youre-struggling</t>
  </si>
  <si>
    <t xml:space="preserve">Mental-health adjacent</t>
  </si>
  <si>
    <t xml:space="preserve">How to ask your roommate to move out</t>
  </si>
  <si>
    <t xml:space="preserve">how-to-ask-your-roommate-to-move-out</t>
  </si>
  <si>
    <t xml:space="preserve">Living-situation moment</t>
  </si>
  <si>
    <t xml:space="preserve">How to ask someone to stop doing something that bothers you</t>
  </si>
  <si>
    <t xml:space="preserve">how-to-ask-someone-to-stop-doing-something-that-bothers-you</t>
  </si>
  <si>
    <t xml:space="preserve">Umbrella query</t>
  </si>
  <si>
    <t xml:space="preserve">How to say no to a friend asking for a favor</t>
  </si>
  <si>
    <t xml:space="preserve">how-to-say-no-to-a-friend-asking-for-a-favor</t>
  </si>
  <si>
    <t xml:space="preserve">Friendship-specific</t>
  </si>
  <si>
    <t xml:space="preserve">How to decline being a bridesmaid</t>
  </si>
  <si>
    <t xml:space="preserve">how-to-decline-being-a-bridesmaid</t>
  </si>
  <si>
    <t xml:space="preserve">Specific, searched</t>
  </si>
  <si>
    <t xml:space="preserve">How to say no to a family member without causing drama</t>
  </si>
  <si>
    <t xml:space="preserve">how-to-say-no-to-a-family-member-without-causing-drama</t>
  </si>
  <si>
    <t xml:space="preserve">Family-specific variant</t>
  </si>
  <si>
    <t xml:space="preserve">How to apologize to someone who doesn't want to hear it</t>
  </si>
  <si>
    <t xml:space="preserve">how-to-apologize-to-someone-who-doesnt-want-to-hear-it</t>
  </si>
  <si>
    <t xml:space="preserve">Advanced-level query</t>
  </si>
  <si>
    <t xml:space="preserve">How to apologize for something you did a long time ago</t>
  </si>
  <si>
    <t xml:space="preserve">how-to-apologize-for-something-you-did-a-long-time-ago</t>
  </si>
  <si>
    <t xml:space="preserve">Step 9 amends territory</t>
  </si>
  <si>
    <t xml:space="preserve">How to rebuild trust after you've broken it</t>
  </si>
  <si>
    <t xml:space="preserve">how-to-rebuild-trust-after-youve-broken-it</t>
  </si>
  <si>
    <t xml:space="preserve">Relationship-repair</t>
  </si>
  <si>
    <t xml:space="preserve">How to apologize for hurting someone's feelings when you didn't mean to</t>
  </si>
  <si>
    <t xml:space="preserve">how-to-apologize-for-hurting-someones-feelings-when-you-didnt-mean-to</t>
  </si>
  <si>
    <t xml:space="preserve">Nuanced</t>
  </si>
  <si>
    <t xml:space="preserve">DoctorVisitPrep</t>
  </si>
  <si>
    <t xml:space="preserve">Before</t>
  </si>
  <si>
    <t xml:space="preserve">How to prepare for a doctor's appointment</t>
  </si>
  <si>
    <t xml:space="preserve">how-to-prepare-for-a-doctors-appointment</t>
  </si>
  <si>
    <t xml:space="preserve">health</t>
  </si>
  <si>
    <t xml:space="preserve">What questions to ask your doctor</t>
  </si>
  <si>
    <t xml:space="preserve">questions-to-ask-your-doctor</t>
  </si>
  <si>
    <t xml:space="preserve">How to describe your symptoms to a doctor</t>
  </si>
  <si>
    <t xml:space="preserve">how-to-describe-your-symptoms-to-a-doctor</t>
  </si>
  <si>
    <t xml:space="preserve">How to get your concerns taken seriously at the doctor</t>
  </si>
  <si>
    <t xml:space="preserve">how-to-get-your-concerns-taken-seriously-at-the-doctor</t>
  </si>
  <si>
    <t xml:space="preserve">VOICE: sensitive</t>
  </si>
  <si>
    <t xml:space="preserve">DoctorVisitTranslator</t>
  </si>
  <si>
    <t xml:space="preserve">Understand</t>
  </si>
  <si>
    <t xml:space="preserve">How to understand what your doctor actually said</t>
  </si>
  <si>
    <t xml:space="preserve">how-to-understand-what-your-doctor-actually-said</t>
  </si>
  <si>
    <t xml:space="preserve">Tests</t>
  </si>
  <si>
    <t xml:space="preserve">How to read your blood test results</t>
  </si>
  <si>
    <t xml:space="preserve">how-to-read-your-blood-test-results</t>
  </si>
  <si>
    <t xml:space="preserve">Medication</t>
  </si>
  <si>
    <t xml:space="preserve">What to ask before taking a new medication</t>
  </si>
  <si>
    <t xml:space="preserve">what-to-ask-before-taking-a-new-medication</t>
  </si>
  <si>
    <t xml:space="preserve">Advocacy</t>
  </si>
  <si>
    <t xml:space="preserve">How to push back when a doctor isn't listening</t>
  </si>
  <si>
    <t xml:space="preserve">how-to-push-back-when-a-doctor-isnt-listening</t>
  </si>
  <si>
    <t xml:space="preserve">OVERLAP: DifficultTalkCoach; VOICE: sensitive</t>
  </si>
  <si>
    <t xml:space="preserve">How to get a doctor to take your pain seriously</t>
  </si>
  <si>
    <t xml:space="preserve">how-to-get-a-doctor-to-take-your-pain-seriously</t>
  </si>
  <si>
    <t xml:space="preserve">How to get a second opinion</t>
  </si>
  <si>
    <t xml:space="preserve">how-to-get-a-second-opinion</t>
  </si>
  <si>
    <t xml:space="preserve">How to advocate for yourself at the doctor</t>
  </si>
  <si>
    <t xml:space="preserve">how-to-advocate-for-yourself-at-the-doctor</t>
  </si>
  <si>
    <t xml:space="preserve">Diagnosis</t>
  </si>
  <si>
    <t xml:space="preserve">How to understand a cancer diagnosis</t>
  </si>
  <si>
    <t xml:space="preserve">how-to-understand-a-cancer-diagnosis</t>
  </si>
  <si>
    <t xml:space="preserve">VOICE: full empathy register. No dry humor.</t>
  </si>
  <si>
    <t xml:space="preserve">What to bring to a doctor's appointment</t>
  </si>
  <si>
    <t xml:space="preserve">what-to-bring-to-a-doctors-appointment</t>
  </si>
  <si>
    <t xml:space="preserve">How to take notes during a doctor's appointment</t>
  </si>
  <si>
    <t xml:space="preserve">how-to-take-notes-during-a-doctors-appointment</t>
  </si>
  <si>
    <t xml:space="preserve">How to read a prescription label</t>
  </si>
  <si>
    <t xml:space="preserve">how-to-read-a-prescription-label</t>
  </si>
  <si>
    <t xml:space="preserve">How to make the most of a 15-minute doctor visit</t>
  </si>
  <si>
    <t xml:space="preserve">how-to-make-the-most-of-a-15-minute-doctor-visit</t>
  </si>
  <si>
    <t xml:space="preserve">How to prepare for a first appointment with a new doctor</t>
  </si>
  <si>
    <t xml:space="preserve">how-to-prepare-for-a-first-appointment-with-a-new-doctor</t>
  </si>
  <si>
    <t xml:space="preserve">How to ask a doctor to explain something</t>
  </si>
  <si>
    <t xml:space="preserve">how-to-ask-a-doctor-to-explain-something</t>
  </si>
  <si>
    <t xml:space="preserve">How to understand medical jargon</t>
  </si>
  <si>
    <t xml:space="preserve">how-to-understand-medical-jargon</t>
  </si>
  <si>
    <t xml:space="preserve">How to translate a doctor's note into plain language</t>
  </si>
  <si>
    <t xml:space="preserve">how-to-translate-a-doctors-note-into-plain-language</t>
  </si>
  <si>
    <t xml:space="preserve">What does abnormal mean on a blood test</t>
  </si>
  <si>
    <t xml:space="preserve">what-does-abnormal-mean-on-a-blood-test</t>
  </si>
  <si>
    <t xml:space="preserve">How to understand an MRI report</t>
  </si>
  <si>
    <t xml:space="preserve">how-to-understand-an-mri-report</t>
  </si>
  <si>
    <t xml:space="preserve">How to interpret lab results</t>
  </si>
  <si>
    <t xml:space="preserve">how-to-interpret-lab-results</t>
  </si>
  <si>
    <t xml:space="preserve">How to understand a biopsy report</t>
  </si>
  <si>
    <t xml:space="preserve">how-to-understand-a-biopsy-report</t>
  </si>
  <si>
    <t xml:space="preserve">How to read an imaging report</t>
  </si>
  <si>
    <t xml:space="preserve">how-to-read-an-imaging-report</t>
  </si>
  <si>
    <t xml:space="preserve">What do borderline test results mean</t>
  </si>
  <si>
    <t xml:space="preserve">what-do-borderline-test-results-mean</t>
  </si>
  <si>
    <t xml:space="preserve">How to understand medication side effects</t>
  </si>
  <si>
    <t xml:space="preserve">how-to-understand-medication-side-effects</t>
  </si>
  <si>
    <t xml:space="preserve">How to tell if a medication is working</t>
  </si>
  <si>
    <t xml:space="preserve">how-to-tell-if-a-medication-is-working</t>
  </si>
  <si>
    <t xml:space="preserve">How to talk to your doctor about side effects</t>
  </si>
  <si>
    <t xml:space="preserve">how-to-talk-to-your-doctor-about-side-effects</t>
  </si>
  <si>
    <t xml:space="preserve">How to ask for a different medication</t>
  </si>
  <si>
    <t xml:space="preserve">how-to-ask-for-a-different-medication</t>
  </si>
  <si>
    <t xml:space="preserve">How to ask for more tests</t>
  </si>
  <si>
    <t xml:space="preserve">how-to-ask-for-more-tests</t>
  </si>
  <si>
    <t xml:space="preserve">How to tell if your doctor is dismissing you</t>
  </si>
  <si>
    <t xml:space="preserve">how-to-tell-if-your-doctor-is-dismissing-you</t>
  </si>
  <si>
    <t xml:space="preserve">How to switch doctors without awkwardness</t>
  </si>
  <si>
    <t xml:space="preserve">how-to-switch-doctors-without-awkwardness</t>
  </si>
  <si>
    <t xml:space="preserve">OVERLAP: DifficultTalkCoach</t>
  </si>
  <si>
    <t xml:space="preserve">What to do when a doctor won't give you a diagnosis</t>
  </si>
  <si>
    <t xml:space="preserve">what-to-do-when-a-doctor-wont-give-you-a-diagnosis</t>
  </si>
  <si>
    <t xml:space="preserve">Specialists</t>
  </si>
  <si>
    <t xml:space="preserve">How to prepare for a specialist appointment</t>
  </si>
  <si>
    <t xml:space="preserve">how-to-prepare-for-a-specialist-appointment</t>
  </si>
  <si>
    <t xml:space="preserve">What to ask a specialist on the first visit</t>
  </si>
  <si>
    <t xml:space="preserve">what-to-ask-a-specialist-on-the-first-visit</t>
  </si>
  <si>
    <t xml:space="preserve">How to understand what a specialist says</t>
  </si>
  <si>
    <t xml:space="preserve">how-to-understand-what-a-specialist-says</t>
  </si>
  <si>
    <t xml:space="preserve">What to ask after a serious diagnosis</t>
  </si>
  <si>
    <t xml:space="preserve">what-to-ask-after-a-serious-diagnosis</t>
  </si>
  <si>
    <t xml:space="preserve">VOICE: full empathy register.</t>
  </si>
  <si>
    <t xml:space="preserve">How to understand a chronic illness diagnosis</t>
  </si>
  <si>
    <t xml:space="preserve">how-to-understand-a-chronic-illness-diagnosis</t>
  </si>
  <si>
    <t xml:space="preserve">How to understand what stage of disease you are in</t>
  </si>
  <si>
    <t xml:space="preserve">how-to-understand-what-stage-of-disease-you-are-in</t>
  </si>
  <si>
    <t xml:space="preserve">VOICE: full empathy register. Particularly careful.</t>
  </si>
  <si>
    <t xml:space="preserve">LeaseTrapDetector</t>
  </si>
  <si>
    <t xml:space="preserve">Pre-signing</t>
  </si>
  <si>
    <t xml:space="preserve">How to read a lease before signing it</t>
  </si>
  <si>
    <t xml:space="preserve">how-to-read-a-lease-before-signing-it</t>
  </si>
  <si>
    <t xml:space="preserve">home</t>
  </si>
  <si>
    <t xml:space="preserve">Core use case</t>
  </si>
  <si>
    <t xml:space="preserve">What to look for in an apartment lease</t>
  </si>
  <si>
    <t xml:space="preserve">what-to-look-for-in-an-apartment-lease</t>
  </si>
  <si>
    <t xml:space="preserve">High-volume query</t>
  </si>
  <si>
    <t xml:space="preserve">Red flags in a rental lease</t>
  </si>
  <si>
    <t xml:space="preserve">red-flags-in-a-rental-lease</t>
  </si>
  <si>
    <t xml:space="preserve">What to check before signing a lease</t>
  </si>
  <si>
    <t xml:space="preserve">what-to-check-before-signing-a-lease</t>
  </si>
  <si>
    <t xml:space="preserve">Clauses</t>
  </si>
  <si>
    <t xml:space="preserve">How to understand security deposit terms in a lease</t>
  </si>
  <si>
    <t xml:space="preserve">how-to-understand-security-deposit-terms-in-a-lease</t>
  </si>
  <si>
    <t xml:space="preserve">Huge search volume on security deposits</t>
  </si>
  <si>
    <t xml:space="preserve">Negotiation</t>
  </si>
  <si>
    <t xml:space="preserve">How to negotiate a lease before signing</t>
  </si>
  <si>
    <t xml:space="preserve">how-to-negotiate-a-lease-before-signing</t>
  </si>
  <si>
    <t xml:space="preserve">Landlord limits</t>
  </si>
  <si>
    <t xml:space="preserve">Can a landlord raise your rent without notice</t>
  </si>
  <si>
    <t xml:space="preserve">can-a-landlord-raise-your-rent-without-notice</t>
  </si>
  <si>
    <t xml:space="preserve">LEGAL CAUTION: state laws vary</t>
  </si>
  <si>
    <t xml:space="preserve">Can a landlord keep your security deposit</t>
  </si>
  <si>
    <t xml:space="preserve">can-a-landlord-keep-your-security-deposit</t>
  </si>
  <si>
    <t xml:space="preserve">Can a landlord enter your apartment without permission</t>
  </si>
  <si>
    <t xml:space="preserve">can-a-landlord-enter-your-apartment-without-permission</t>
  </si>
  <si>
    <t xml:space="preserve">Post-signing</t>
  </si>
  <si>
    <t xml:space="preserve">How to break a lease legally</t>
  </si>
  <si>
    <t xml:space="preserve">how-to-break-a-lease-legally</t>
  </si>
  <si>
    <t xml:space="preserve">Huge search volume</t>
  </si>
  <si>
    <t xml:space="preserve">How to get out of a lease early without paying</t>
  </si>
  <si>
    <t xml:space="preserve">how-to-get-out-of-a-lease-early-without-paying</t>
  </si>
  <si>
    <t xml:space="preserve">How to get a landlord to remove an unfair clause</t>
  </si>
  <si>
    <t xml:space="preserve">how-to-get-a-landlord-to-remove-an-unfair-clause</t>
  </si>
  <si>
    <t xml:space="preserve">Special</t>
  </si>
  <si>
    <t xml:space="preserve">How to review a lease as a cosigner</t>
  </si>
  <si>
    <t xml:space="preserve">how-to-review-a-lease-as-a-cosigner</t>
  </si>
  <si>
    <t xml:space="preserve">How to read a roommate agreement</t>
  </si>
  <si>
    <t xml:space="preserve">how-to-read-a-roommate-agreement</t>
  </si>
  <si>
    <t xml:space="preserve">How to spot unfair clauses in a lease</t>
  </si>
  <si>
    <t xml:space="preserve">how-to-spot-unfair-clauses-in-a-lease</t>
  </si>
  <si>
    <t xml:space="preserve">How to tell if a lease is a bad deal</t>
  </si>
  <si>
    <t xml:space="preserve">how-to-tell-if-a-lease-is-a-bad-deal</t>
  </si>
  <si>
    <t xml:space="preserve">How to review a lease agreement carefully</t>
  </si>
  <si>
    <t xml:space="preserve">how-to-review-a-lease-agreement-carefully</t>
  </si>
  <si>
    <t xml:space="preserve">What is an early termination fee in a lease</t>
  </si>
  <si>
    <t xml:space="preserve">what-is-an-early-termination-fee-in-a-lease</t>
  </si>
  <si>
    <t xml:space="preserve">How to understand automatic renewal clauses in a lease</t>
  </si>
  <si>
    <t xml:space="preserve">how-to-understand-automatic-renewal-clauses-in-a-lease</t>
  </si>
  <si>
    <t xml:space="preserve">How to interpret the maintenance section of a lease</t>
  </si>
  <si>
    <t xml:space="preserve">how-to-interpret-the-maintenance-section-of-a-lease</t>
  </si>
  <si>
    <t xml:space="preserve">What is joint and several liability in a lease</t>
  </si>
  <si>
    <t xml:space="preserve">what-is-joint-and-several-liability-in-a-lease</t>
  </si>
  <si>
    <t xml:space="preserve">What are reasonable landlord fees in a lease</t>
  </si>
  <si>
    <t xml:space="preserve">what-are-reasonable-landlord-fees-in-a-lease</t>
  </si>
  <si>
    <t xml:space="preserve">How to spot a rent increase clause in a lease</t>
  </si>
  <si>
    <t xml:space="preserve">how-to-spot-a-rent-increase-clause-in-a-lease</t>
  </si>
  <si>
    <t xml:space="preserve">What lease terms are negotiable</t>
  </si>
  <si>
    <t xml:space="preserve">what-lease-terms-are-negotiable</t>
  </si>
  <si>
    <t xml:space="preserve">How to ask a landlord to change a lease clause</t>
  </si>
  <si>
    <t xml:space="preserve">how-to-ask-a-landlord-to-change-a-lease-clause</t>
  </si>
  <si>
    <t xml:space="preserve">Soft overlap: DifficultTalkCoach</t>
  </si>
  <si>
    <t xml:space="preserve">How to negotiate a pet deposit or pet fee</t>
  </si>
  <si>
    <t xml:space="preserve">how-to-negotiate-a-pet-deposit-or-pet-fee</t>
  </si>
  <si>
    <t xml:space="preserve">How to negotiate rent with a landlord</t>
  </si>
  <si>
    <t xml:space="preserve">how-to-negotiate-rent-with-a-landlord</t>
  </si>
  <si>
    <t xml:space="preserve">What can a landlord legally charge fees for</t>
  </si>
  <si>
    <t xml:space="preserve">what-can-a-landlord-legally-charge-fees-for</t>
  </si>
  <si>
    <t xml:space="preserve">Is a lease legally binding if the landlord misrepresented it</t>
  </si>
  <si>
    <t xml:space="preserve">is-a-lease-legally-binding-if-the-landlord-misrepresented-it</t>
  </si>
  <si>
    <t xml:space="preserve">LEGAL CAUTION: often needs a lawyer</t>
  </si>
  <si>
    <t xml:space="preserve">Can a landlord change the terms of your lease mid-term</t>
  </si>
  <si>
    <t xml:space="preserve">can-a-landlord-change-the-terms-of-your-lease-mid-term</t>
  </si>
  <si>
    <t xml:space="preserve">Can a landlord charge late fees</t>
  </si>
  <si>
    <t xml:space="preserve">can-a-landlord-charge-late-fees</t>
  </si>
  <si>
    <t xml:space="preserve">What to do if your lease has unfair clauses</t>
  </si>
  <si>
    <t xml:space="preserve">what-to-do-if-your-lease-has-unfair-clauses</t>
  </si>
  <si>
    <t xml:space="preserve">How to fight an unfair lease charge</t>
  </si>
  <si>
    <t xml:space="preserve">how-to-fight-an-unfair-lease-charge</t>
  </si>
  <si>
    <t xml:space="preserve">What to do when your landlord violates the lease</t>
  </si>
  <si>
    <t xml:space="preserve">what-to-do-when-your-landlord-violates-the-lease</t>
  </si>
  <si>
    <t xml:space="preserve">Vetting</t>
  </si>
  <si>
    <t xml:space="preserve">How to tell if a landlord is shady before signing</t>
  </si>
  <si>
    <t xml:space="preserve">how-to-tell-if-a-landlord-is-shady-before-signing</t>
  </si>
  <si>
    <t xml:space="preserve">Rental red flags to watch for before signing</t>
  </si>
  <si>
    <t xml:space="preserve">rental-red-flags-to-watch-for-before-signing</t>
  </si>
  <si>
    <t xml:space="preserve">Questions to ask before signing a lease</t>
  </si>
  <si>
    <t xml:space="preserve">questions-to-ask-before-signing-a-lease</t>
  </si>
  <si>
    <t xml:space="preserve">What to check before subletting a lease</t>
  </si>
  <si>
    <t xml:space="preserve">what-to-check-before-subletting-a-lease</t>
  </si>
  <si>
    <t xml:space="preserve">UpsellShield</t>
  </si>
  <si>
    <t xml:space="preserve">Cars</t>
  </si>
  <si>
    <t xml:space="preserve">How to avoid getting ripped off at a car dealership</t>
  </si>
  <si>
    <t xml:space="preserve">how-to-avoid-getting-ripped-off-at-a-car-dealership</t>
  </si>
  <si>
    <t xml:space="preserve">consumer</t>
  </si>
  <si>
    <t xml:space="preserve">How to negotiate with a car salesman</t>
  </si>
  <si>
    <t xml:space="preserve">how-to-negotiate-with-a-car-salesman</t>
  </si>
  <si>
    <t xml:space="preserve">How to tell if a car dealer is lying to you</t>
  </si>
  <si>
    <t xml:space="preserve">how-to-tell-if-a-car-dealer-is-lying-to-you</t>
  </si>
  <si>
    <t xml:space="preserve">How to avoid dealer add-ons</t>
  </si>
  <si>
    <t xml:space="preserve">how-to-avoid-dealer-add-ons</t>
  </si>
  <si>
    <t xml:space="preserve">How to buy a car without being pressured</t>
  </si>
  <si>
    <t xml:space="preserve">how-to-buy-a-car-without-being-pressured</t>
  </si>
  <si>
    <t xml:space="preserve">Subscriptions</t>
  </si>
  <si>
    <t xml:space="preserve">How to cancel a subscription that won't let you cancel</t>
  </si>
  <si>
    <t xml:space="preserve">how-to-cancel-a-subscription-that-wont-let-you-cancel</t>
  </si>
  <si>
    <t xml:space="preserve">Evergreen pain</t>
  </si>
  <si>
    <t xml:space="preserve">How to avoid free trial billing traps</t>
  </si>
  <si>
    <t xml:space="preserve">how-to-avoid-free-trial-billing-traps</t>
  </si>
  <si>
    <t xml:space="preserve">How to get out of a gym membership</t>
  </si>
  <si>
    <t xml:space="preserve">how-to-get-out-of-a-gym-membership</t>
  </si>
  <si>
    <t xml:space="preserve">Very high search volume</t>
  </si>
  <si>
    <t xml:space="preserve">How to cancel cable without them talking you out of it</t>
  </si>
  <si>
    <t xml:space="preserve">how-to-cancel-cable-without-them-talking-you-out-of-it</t>
  </si>
  <si>
    <t xml:space="preserve">How to stop a service that keeps charging you</t>
  </si>
  <si>
    <t xml:space="preserve">how-to-stop-a-service-that-keeps-charging-you</t>
  </si>
  <si>
    <t xml:space="preserve">Services</t>
  </si>
  <si>
    <t xml:space="preserve">How to tell if your mechanic is ripping you off</t>
  </si>
  <si>
    <t xml:space="preserve">how-to-tell-if-your-mechanic-is-ripping-you-off</t>
  </si>
  <si>
    <t xml:space="preserve">OVERLAP: MarkupDetective</t>
  </si>
  <si>
    <t xml:space="preserve">Pressure</t>
  </si>
  <si>
    <t xml:space="preserve">How to say no to a timeshare presentation</t>
  </si>
  <si>
    <t xml:space="preserve">how-to-say-no-to-a-timeshare-presentation</t>
  </si>
  <si>
    <t xml:space="preserve">High-volume</t>
  </si>
  <si>
    <t xml:space="preserve">How to get out of a timeshare contract</t>
  </si>
  <si>
    <t xml:space="preserve">how-to-get-out-of-a-timeshare-contract</t>
  </si>
  <si>
    <t xml:space="preserve">How to handle a door-to-door salesman</t>
  </si>
  <si>
    <t xml:space="preserve">how-to-handle-a-door-to-door-salesman</t>
  </si>
  <si>
    <t xml:space="preserve">How to escape a high-pressure sales pitch politely</t>
  </si>
  <si>
    <t xml:space="preserve">how-to-escape-a-high-pressure-sales-pitch-politely</t>
  </si>
  <si>
    <t xml:space="preserve">Dark patterns</t>
  </si>
  <si>
    <t xml:space="preserve">How to spot fake discounts</t>
  </si>
  <si>
    <t xml:space="preserve">how-to-spot-fake-discounts</t>
  </si>
  <si>
    <t xml:space="preserve">Financial</t>
  </si>
  <si>
    <t xml:space="preserve">How to avoid hidden credit card fees</t>
  </si>
  <si>
    <t xml:space="preserve">how-to-avoid-hidden-credit-card-fees</t>
  </si>
  <si>
    <t xml:space="preserve">How to push back on bank fees</t>
  </si>
  <si>
    <t xml:space="preserve">how-to-push-back-on-bank-fees</t>
  </si>
  <si>
    <t xml:space="preserve">How to tell if a financial advisor is on your side</t>
  </si>
  <si>
    <t xml:space="preserve">how-to-tell-if-a-financial-advisor-is-on-your-side</t>
  </si>
  <si>
    <t xml:space="preserve">How to spot predatory loan terms</t>
  </si>
  <si>
    <t xml:space="preserve">how-to-spot-predatory-loan-terms</t>
  </si>
  <si>
    <t xml:space="preserve">Tactics</t>
  </si>
  <si>
    <t xml:space="preserve">How to recognize sales manipulation tactics</t>
  </si>
  <si>
    <t xml:space="preserve">how-to-recognize-sales-manipulation-tactics</t>
  </si>
  <si>
    <t xml:space="preserve">How to tell when you're being upsold</t>
  </si>
  <si>
    <t xml:space="preserve">how-to-tell-when-youre-being-upsold</t>
  </si>
  <si>
    <t xml:space="preserve">How to walk away from a high-pressure sale</t>
  </si>
  <si>
    <t xml:space="preserve">how-to-walk-away-from-a-high-pressure-sale</t>
  </si>
  <si>
    <t xml:space="preserve">Recovery</t>
  </si>
  <si>
    <t xml:space="preserve">How to get your money back after a high-pressure sale</t>
  </si>
  <si>
    <t xml:space="preserve">how-to-get-your-money-back-after-a-high-pressure-sale</t>
  </si>
  <si>
    <t xml:space="preserve">How to cancel a contract you shouldn't have signed</t>
  </si>
  <si>
    <t xml:space="preserve">how-to-cancel-a-contract-you-shouldnt-have-signed</t>
  </si>
  <si>
    <t xml:space="preserve">How to handle the monthly payment budget question at a dealership</t>
  </si>
  <si>
    <t xml:space="preserve">how-to-handle-the-monthly-payment-budget-question-at-a-dealership</t>
  </si>
  <si>
    <t xml:space="preserve">Specific tactic query</t>
  </si>
  <si>
    <t xml:space="preserve">How to say no to extended warranty at a car dealership</t>
  </si>
  <si>
    <t xml:space="preserve">how-to-say-no-to-extended-warranty-at-a-car-dealership</t>
  </si>
  <si>
    <t xml:space="preserve">How to walk away from a car deal</t>
  </si>
  <si>
    <t xml:space="preserve">how-to-walk-away-from-a-car-deal</t>
  </si>
  <si>
    <t xml:space="preserve">How to tell if a used car price is fair</t>
  </si>
  <si>
    <t xml:space="preserve">how-to-tell-if-a-used-car-price-is-fair</t>
  </si>
  <si>
    <t xml:space="preserve">How to deal with a retention specialist</t>
  </si>
  <si>
    <t xml:space="preserve">how-to-deal-with-a-retention-specialist</t>
  </si>
  <si>
    <t xml:space="preserve">How to spot hidden subscription fees</t>
  </si>
  <si>
    <t xml:space="preserve">how-to-spot-hidden-subscription-fees</t>
  </si>
  <si>
    <t xml:space="preserve">How to avoid auto-renewal price hikes</t>
  </si>
  <si>
    <t xml:space="preserve">how-to-avoid-auto-renewal-price-hikes</t>
  </si>
  <si>
    <t xml:space="preserve">How to resist upselling at the dentist</t>
  </si>
  <si>
    <t xml:space="preserve">how-to-resist-upselling-at-the-dentist</t>
  </si>
  <si>
    <t xml:space="preserve">How to say no to unnecessary vet treatments</t>
  </si>
  <si>
    <t xml:space="preserve">how-to-say-no-to-unnecessary-vet-treatments</t>
  </si>
  <si>
    <t xml:space="preserve">How to push back on an inflated contractor estimate</t>
  </si>
  <si>
    <t xml:space="preserve">how-to-push-back-on-an-inflated-contractor-estimate</t>
  </si>
  <si>
    <t xml:space="preserve">How to handle a repair shop recommending unnecessary work</t>
  </si>
  <si>
    <t xml:space="preserve">how-to-handle-a-repair-shop-recommending-unnecessary-work</t>
  </si>
  <si>
    <t xml:space="preserve">How to resist pressure from a funeral director</t>
  </si>
  <si>
    <t xml:space="preserve">how-to-resist-pressure-from-a-funeral-director</t>
  </si>
  <si>
    <t xml:space="preserve">How to say no to wedding vendor upsells</t>
  </si>
  <si>
    <t xml:space="preserve">how-to-say-no-to-wedding-vendor-upsells</t>
  </si>
  <si>
    <t xml:space="preserve">How to decline solar or roofing sales at the door</t>
  </si>
  <si>
    <t xml:space="preserve">how-to-decline-solar-or-roofing-sales-at-the-door</t>
  </si>
  <si>
    <t xml:space="preserve">How to avoid being upsold at a furniture store</t>
  </si>
  <si>
    <t xml:space="preserve">how-to-avoid-being-upsold-at-a-furniture-store</t>
  </si>
  <si>
    <t xml:space="preserve">How to negotiate a mattress price without getting pressured</t>
  </si>
  <si>
    <t xml:space="preserve">how-to-negotiate-a-mattress-price-without-getting-pressured</t>
  </si>
  <si>
    <t xml:space="preserve">How to tell if a jewelry store is overpricing</t>
  </si>
  <si>
    <t xml:space="preserve">how-to-tell-if-a-jewelry-store-is-overpricing</t>
  </si>
  <si>
    <t xml:space="preserve">How to tell if a limited time offer is real</t>
  </si>
  <si>
    <t xml:space="preserve">how-to-tell-if-a-limited-time-offer-is-real</t>
  </si>
  <si>
    <t xml:space="preserve">How to resist online checkout upsells</t>
  </si>
  <si>
    <t xml:space="preserve">how-to-resist-online-checkout-upsells</t>
  </si>
  <si>
    <t xml:space="preserve">How to avoid drip pricing at online checkout</t>
  </si>
  <si>
    <t xml:space="preserve">how-to-avoid-drip-pricing-at-online-checkout</t>
  </si>
  <si>
    <t xml:space="preserve">How to cancel an online order without being manipulated into keeping it</t>
  </si>
  <si>
    <t xml:space="preserve">how-to-cancel-an-online-order-without-being-manipulated-into-keeping-it</t>
  </si>
  <si>
    <t xml:space="preserve">How to negotiate a waived overdraft fee</t>
  </si>
  <si>
    <t xml:space="preserve">how-to-negotiate-a-waived-overdraft-fee</t>
  </si>
  <si>
    <t xml:space="preserve">How to cancel a credit card they don't want you to cancel</t>
  </si>
  <si>
    <t xml:space="preserve">how-to-cancel-a-credit-card-they-dont-want-you-to-cancel</t>
  </si>
  <si>
    <t xml:space="preserve">How to spot a bad mortgage offer</t>
  </si>
  <si>
    <t xml:space="preserve">how-to-spot-a-bad-mortgage-offer</t>
  </si>
  <si>
    <t xml:space="preserve">How to resist pressure from an investment broker</t>
  </si>
  <si>
    <t xml:space="preserve">how-to-resist-pressure-from-an-investment-broker</t>
  </si>
  <si>
    <t xml:space="preserve">How to resist urgency and scarcity tactics</t>
  </si>
  <si>
    <t xml:space="preserve">how-to-resist-urgency-and-scarcity-tactics</t>
  </si>
  <si>
    <t xml:space="preserve">How to tell if a deal is actually a deal</t>
  </si>
  <si>
    <t xml:space="preserve">how-to-tell-if-a-deal-is-actually-a-deal</t>
  </si>
  <si>
    <t xml:space="preserve">How to not feel guilty saying no to a salesperson</t>
  </si>
  <si>
    <t xml:space="preserve">how-to-not-feel-guilty-saying-no-to-a-salesperson</t>
  </si>
  <si>
    <t xml:space="preserve">How to resist a charismatic salesperson</t>
  </si>
  <si>
    <t xml:space="preserve">how-to-resist-a-charismatic-salesperson</t>
  </si>
  <si>
    <t xml:space="preserve">How to dispute a manipulative charge</t>
  </si>
  <si>
    <t xml:space="preserve">how-to-dispute-a-manipulative-charge</t>
  </si>
  <si>
    <t xml:space="preserve">How to recognize when you've been manipulated into a bad purchase</t>
  </si>
  <si>
    <t xml:space="preserve">how-to-recognize-when-youve-been-manipulated-into-a-bad-purchase</t>
  </si>
  <si>
    <t xml:space="preserve">How to use the cooling-off period on a contract</t>
  </si>
  <si>
    <t xml:space="preserve">how-to-use-the-cooling-off-period-on-a-contract</t>
  </si>
  <si>
    <t xml:space="preserve">Total Queries</t>
  </si>
  <si>
    <t xml:space="preserve">Candidates</t>
  </si>
  <si>
    <t xml:space="preserve">High Priority (remaining)</t>
  </si>
  <si>
    <t xml:space="preserve">TOTAL</t>
  </si>
  <si>
    <t xml:space="preserve">Tagline</t>
  </si>
  <si>
    <t xml:space="preserve">SEO Fit</t>
  </si>
  <si>
    <t xml:space="preserve">Est. Queries</t>
  </si>
  <si>
    <t xml:space="preserve">Totals</t>
  </si>
  <si>
    <t xml:space="preserve">Tools</t>
  </si>
  <si>
    <t xml:space="preserve">Practice hard conversations before they happen</t>
  </si>
  <si>
    <t xml:space="preserve">HIGH</t>
  </si>
  <si>
    <t xml:space="preserve">Done</t>
  </si>
  <si>
    <t xml:space="preserve">Shipped: 5 guides</t>
  </si>
  <si>
    <t xml:space="preserve">Walk into high-pressure sales prepared</t>
  </si>
  <si>
    <t xml:space="preserve">Discovered; subscription cluster may reassign to SubscriptionGuiltTrip</t>
  </si>
  <si>
    <t xml:space="preserve">MEDIUM</t>
  </si>
  <si>
    <t xml:space="preserve">Turn medical jargon into plain English</t>
  </si>
  <si>
    <t xml:space="preserve">Owns translation/comprehension of results — what the doctor said, medical jargon, test and imaging reports, medication side effects, diagnoses. All asking and prep-for-discussion goes to DoctorVisitPrep.</t>
  </si>
  <si>
    <t xml:space="preserve">LOW</t>
  </si>
  <si>
    <t xml:space="preserve">TBD — confirm with deployed copy</t>
  </si>
  <si>
    <t xml:space="preserve">Owns preparation for the discussion — visit prep, advocacy strategy, how-to-ask, how-to-talk-to. Split off from DVT this session.</t>
  </si>
  <si>
    <t xml:space="preserve">NONE</t>
  </si>
  <si>
    <t xml:space="preserve">Find predatory clauses hiding in your lease</t>
  </si>
  <si>
    <t xml:space="preserve">Discovered</t>
  </si>
  <si>
    <t xml:space="preserve">PetWeirdnessDecoder</t>
  </si>
  <si>
    <t xml:space="preserve">Is it quirky or concerning?</t>
  </si>
  <si>
    <t xml:space="preserve">Queue</t>
  </si>
  <si>
    <t xml:space="preserve">Huge cluster: 'why is my cat/dog X' queries</t>
  </si>
  <si>
    <t xml:space="preserve">PlantRescue</t>
  </si>
  <si>
    <t xml:space="preserve">Why are my leaves turning yellow?</t>
  </si>
  <si>
    <t xml:space="preserve">Huge cluster: 'why is my plant X' queries</t>
  </si>
  <si>
    <t xml:space="preserve">BikeMedic</t>
  </si>
  <si>
    <t xml:space="preserve">A trailside mechanic in your pocket</t>
  </si>
  <si>
    <t xml:space="preserve">'How to fix a bike X' cluster — technical repair</t>
  </si>
  <si>
    <t xml:space="preserve">ConflictCoach</t>
  </si>
  <si>
    <t xml:space="preserve">Stop, breathe, and craft the right response</t>
  </si>
  <si>
    <t xml:space="preserve">Triage</t>
  </si>
  <si>
    <t xml:space="preserve">Heavy DTC overlap — triage which tool owns which queries</t>
  </si>
  <si>
    <t xml:space="preserve">ComplaintEscalationWriter</t>
  </si>
  <si>
    <t xml:space="preserve">Full escalation campaigns companies can't ignore</t>
  </si>
  <si>
    <t xml:space="preserve">'How to file/escalate complaint against X' cluster</t>
  </si>
  <si>
    <t xml:space="preserve">MarkupDetective</t>
  </si>
  <si>
    <t xml:space="preserve">Why does this cost that? Follow the money</t>
  </si>
  <si>
    <t xml:space="preserve">Overdue: UpsellShield flagged 4 overlap queries</t>
  </si>
  <si>
    <t xml:space="preserve">RulebookBreaker</t>
  </si>
  <si>
    <t xml:space="preserve">Loopholes, magic words, escalation ladder</t>
  </si>
  <si>
    <t xml:space="preserve">Overlaps UpsellShield/ComplaintEscalationWriter</t>
  </si>
  <si>
    <t xml:space="preserve">BillRescue</t>
  </si>
  <si>
    <t xml:space="preserve">Your bill anxiety ends here</t>
  </si>
  <si>
    <t xml:space="preserve">'How to dispute/negotiate/read a bill' — overlaps MarkupDetective</t>
  </si>
  <si>
    <t xml:space="preserve">RentersDepositSaver</t>
  </si>
  <si>
    <t xml:space="preserve">Protect your security deposit on move-in day</t>
  </si>
  <si>
    <t xml:space="preserve">Distinct from LeaseTrapDetector (move-in moment)</t>
  </si>
  <si>
    <t xml:space="preserve">SubscriptionGuiltTrip</t>
  </si>
  <si>
    <t xml:space="preserve">Cancel what you don't use. Negotiate what you keep</t>
  </si>
  <si>
    <t xml:space="preserve">REASSIGN: UpsellShield Subscriptions cluster likely belongs here</t>
  </si>
  <si>
    <t xml:space="preserve">ToastWriter</t>
  </si>
  <si>
    <t xml:space="preserve">Toasts, speeches, and tributes that land</t>
  </si>
  <si>
    <t xml:space="preserve">Wedding/funeral toast queries are high-volume, high-intent</t>
  </si>
  <si>
    <t xml:space="preserve">Giftology</t>
  </si>
  <si>
    <t xml:space="preserve">The perfect gift for the hardest person to shop for</t>
  </si>
  <si>
    <t xml:space="preserve">'Gift ideas for X' — huge volume but very competitive</t>
  </si>
  <si>
    <t xml:space="preserve">MagicMouth</t>
  </si>
  <si>
    <t xml:space="preserve">The art of the ask</t>
  </si>
  <si>
    <t xml:space="preserve">Heavy DTC overlap on 'how to ask' queries</t>
  </si>
  <si>
    <t xml:space="preserve">ColdOpenCraft</t>
  </si>
  <si>
    <t xml:space="preserve">First messages that actually get responses</t>
  </si>
  <si>
    <t xml:space="preserve">Dating-app + cold-email openings</t>
  </si>
  <si>
    <t xml:space="preserve">CrashPredictor</t>
  </si>
  <si>
    <t xml:space="preserve">Spot your burnout patterns before the crash</t>
  </si>
  <si>
    <t xml:space="preserve">'Signs of burnout' high volume, careful voice</t>
  </si>
  <si>
    <t xml:space="preserve">FakeReviewDetective</t>
  </si>
  <si>
    <t xml:space="preserve">Spot fake reviews before you get burned</t>
  </si>
  <si>
    <t xml:space="preserve">'How to spot fake reviews' cluster</t>
  </si>
  <si>
    <t xml:space="preserve">FinalWish</t>
  </si>
  <si>
    <t xml:space="preserve">Organize what matters. Say what needs to be said</t>
  </si>
  <si>
    <t xml:space="preserve">End-of-life planning — careful voice, legal-adjacent</t>
  </si>
  <si>
    <t xml:space="preserve">JargonAssassin</t>
  </si>
  <si>
    <t xml:space="preserve">Confusing documents → plain language</t>
  </si>
  <si>
    <t xml:space="preserve">Overlaps LeaseTrapDetector, PlainTalk, ResearchDecoder</t>
  </si>
  <si>
    <t xml:space="preserve">LaundroMat</t>
  </si>
  <si>
    <t xml:space="preserve">Never lose track of your laundry again</t>
  </si>
  <si>
    <t xml:space="preserve">'How to wash X without ruining Y'</t>
  </si>
  <si>
    <t xml:space="preserve">ProcedureProbe</t>
  </si>
  <si>
    <t xml:space="preserve">Be an informed patient before you say yes</t>
  </si>
  <si>
    <t xml:space="preserve">Heavy DVT/DVP overlap — triage</t>
  </si>
  <si>
    <t xml:space="preserve">BragSheetBuilder</t>
  </si>
  <si>
    <t xml:space="preserve">Turn humble descriptions into career advancement toolkit</t>
  </si>
  <si>
    <t xml:space="preserve">'How to prepare for performance review' cluster</t>
  </si>
  <si>
    <t xml:space="preserve">CaptionMagic</t>
  </si>
  <si>
    <t xml:space="preserve">Turn any photo into engaging social captions</t>
  </si>
  <si>
    <t xml:space="preserve">Competitive SEO but real intent</t>
  </si>
  <si>
    <t xml:space="preserve">DateNight</t>
  </si>
  <si>
    <t xml:space="preserve">A full evening plan, on budget, anywhere</t>
  </si>
  <si>
    <t xml:space="preserve">'Date night ideas near me' high volume, crowded SEO</t>
  </si>
  <si>
    <t xml:space="preserve">DecisionCoach</t>
  </si>
  <si>
    <t xml:space="preserve">One answer. No second-guessing.</t>
  </si>
  <si>
    <t xml:space="preserve">'How to decide between X and Y'</t>
  </si>
  <si>
    <t xml:space="preserve">DecoderRing</t>
  </si>
  <si>
    <t xml:space="preserve">Decode what they actually mean</t>
  </si>
  <si>
    <t xml:space="preserve">'What does it mean when he/she says X' cluster</t>
  </si>
  <si>
    <t xml:space="preserve">MoneyDiplomat</t>
  </si>
  <si>
    <t xml:space="preserve">The right number for every money moment</t>
  </si>
  <si>
    <t xml:space="preserve">'How much to tip X' cluster</t>
  </si>
  <si>
    <t xml:space="preserve">PartyArchitect</t>
  </si>
  <si>
    <t xml:space="preserve">Host events people actually remember</t>
  </si>
  <si>
    <t xml:space="preserve">'How to host X' queries</t>
  </si>
  <si>
    <t xml:space="preserve">PlainTalk</t>
  </si>
  <si>
    <t xml:space="preserve">Plain-English translation of complex text</t>
  </si>
  <si>
    <t xml:space="preserve">Heavy JargonAssassin overlap</t>
  </si>
  <si>
    <t xml:space="preserve">RecipeChaosSolver</t>
  </si>
  <si>
    <t xml:space="preserve">Your kitchen 911</t>
  </si>
  <si>
    <t xml:space="preserve">Kitchen-crisis queries ('what to do if recipe X')</t>
  </si>
  <si>
    <t xml:space="preserve">SkillGapMap</t>
  </si>
  <si>
    <t xml:space="preserve">GPS from current role to dream job</t>
  </si>
  <si>
    <t xml:space="preserve">Career transition queries</t>
  </si>
  <si>
    <t xml:space="preserve">SpiralStopper</t>
  </si>
  <si>
    <t xml:space="preserve">Emergency intervention for spirals, freezes, and crashes</t>
  </si>
  <si>
    <t xml:space="preserve">VOICE: full empathy. Mental health adjacent</t>
  </si>
  <si>
    <t xml:space="preserve">TheRunthrough</t>
  </si>
  <si>
    <t xml:space="preserve">Presentation coach in your pocket</t>
  </si>
  <si>
    <t xml:space="preserve">HecklerPrep overlap</t>
  </si>
  <si>
    <t xml:space="preserve">VelvetHammer</t>
  </si>
  <si>
    <t xml:space="preserve">Transform furious drafts into professional messages</t>
  </si>
  <si>
    <t xml:space="preserve">DTC workplace overlap</t>
  </si>
  <si>
    <t xml:space="preserve">ApologyCalibrator</t>
  </si>
  <si>
    <t xml:space="preserve">Match your apology to the actual harm caused</t>
  </si>
  <si>
    <t xml:space="preserve">DTC apology cluster overlap</t>
  </si>
  <si>
    <t xml:space="preserve">CrisisPrioritizer</t>
  </si>
  <si>
    <t xml:space="preserve">Separate real urgency from anxiety urgency</t>
  </si>
  <si>
    <t xml:space="preserve">Workplace overwhelm queries</t>
  </si>
  <si>
    <t xml:space="preserve">GhostWriter</t>
  </si>
  <si>
    <t xml:space="preserve">Turn rough notes into polished recommendation letters</t>
  </si>
  <si>
    <t xml:space="preserve">'How to write a recommendation letter' dense cluster</t>
  </si>
  <si>
    <t xml:space="preserve">GratitudeDebtClearer</t>
  </si>
  <si>
    <t xml:space="preserve">Convert bullet points into polished thank yous</t>
  </si>
  <si>
    <t xml:space="preserve">'How to write a thank you note' — steady intent</t>
  </si>
  <si>
    <t xml:space="preserve">HecklerPrep</t>
  </si>
  <si>
    <t xml:space="preserve">Anticipate the hardest questions before they land</t>
  </si>
  <si>
    <t xml:space="preserve">Presentation/public-speaking Q&amp;A</t>
  </si>
  <si>
    <t xml:space="preserve">NameThatFeeling</t>
  </si>
  <si>
    <t xml:space="preserve">There's a word for that. Let's find it.</t>
  </si>
  <si>
    <t xml:space="preserve">'What's the word for feeling X' — searchable</t>
  </si>
  <si>
    <t xml:space="preserve">RoommateCourt</t>
  </si>
  <si>
    <t xml:space="preserve">Settle disputes and assign chores</t>
  </si>
  <si>
    <t xml:space="preserve">'How to handle roommate X' — real queries</t>
  </si>
  <si>
    <t xml:space="preserve">AwkwardSilenceFiller</t>
  </si>
  <si>
    <t xml:space="preserve">Context-appropriate conversation rescues</t>
  </si>
  <si>
    <t xml:space="preserve">'How to break awkward silence' niche</t>
  </si>
  <si>
    <t xml:space="preserve">ContrastReport</t>
  </si>
  <si>
    <t xml:space="preserve">Feel both futures before you choose</t>
  </si>
  <si>
    <t xml:space="preserve">DecisionCoach / PlotTwist overlap</t>
  </si>
  <si>
    <t xml:space="preserve">EmailUrgencyTriager</t>
  </si>
  <si>
    <t xml:space="preserve">Find out what actually needs a reply today</t>
  </si>
  <si>
    <t xml:space="preserve">Niche workplace, already partially covered by DTC adjacents</t>
  </si>
  <si>
    <t xml:space="preserve">MeetingBSDetector</t>
  </si>
  <si>
    <t xml:space="preserve">Is this meeting necessary or could it be an email?</t>
  </si>
  <si>
    <t xml:space="preserve">Niche workplace</t>
  </si>
  <si>
    <t xml:space="preserve">MeetingHijackPreventer</t>
  </si>
  <si>
    <t xml:space="preserve">Keep meetings structured, inclusive, and on track</t>
  </si>
  <si>
    <t xml:space="preserve">Workplace-specific</t>
  </si>
  <si>
    <t xml:space="preserve">PlotTwist</t>
  </si>
  <si>
    <t xml:space="preserve">See every angle of a tough decision</t>
  </si>
  <si>
    <t xml:space="preserve">DecisionCoach / ContrastReport overlap</t>
  </si>
  <si>
    <t xml:space="preserve">DreamPatternSpotter</t>
  </si>
  <si>
    <t xml:space="preserve">Recurring themes and emotional patterns in your dreams</t>
  </si>
  <si>
    <t xml:space="preserve">Skip</t>
  </si>
  <si>
    <t xml:space="preserve">'What does it mean when I dream' — pseudoscience risk</t>
  </si>
  <si>
    <t xml:space="preserve">LayoverMaximizer</t>
  </si>
  <si>
    <t xml:space="preserve">Turn dead time into the best part of your trip</t>
  </si>
  <si>
    <t xml:space="preserve">'What to do on a long layover in X'</t>
  </si>
  <si>
    <t xml:space="preserve">PronounceItRight</t>
  </si>
  <si>
    <t xml:space="preserve">Never mispronounce anything again</t>
  </si>
  <si>
    <t xml:space="preserve">'How to pronounce X' — infinite long-tail but per-word</t>
  </si>
  <si>
    <t xml:space="preserve">BrainDumpBuddy</t>
  </si>
  <si>
    <t xml:space="preserve">Everything in your head → one clear next step</t>
  </si>
  <si>
    <t xml:space="preserve">Productivity SEO brutal</t>
  </si>
  <si>
    <t xml:space="preserve">BuyWise</t>
  </si>
  <si>
    <t xml:space="preserve">The research you'd do if you had an hour</t>
  </si>
  <si>
    <t xml:space="preserve">'Should I buy X' too generic</t>
  </si>
  <si>
    <t xml:space="preserve">MicroAdventureMapper</t>
  </si>
  <si>
    <t xml:space="preserve">Mini-adventures near you, under $20, in 2-4 hours</t>
  </si>
  <si>
    <t xml:space="preserve">Low volume, possible 'things to do in X under $20'</t>
  </si>
  <si>
    <t xml:space="preserve">PreMortem</t>
  </si>
  <si>
    <t xml:space="preserve">Your plan has already failed. Here's the memo explaining why</t>
  </si>
  <si>
    <t xml:space="preserve">Business-niche</t>
  </si>
  <si>
    <t xml:space="preserve">ResearchDecoder</t>
  </si>
  <si>
    <t xml:space="preserve">What this paper actually says</t>
  </si>
  <si>
    <t xml:space="preserve">Academic-niche</t>
  </si>
  <si>
    <t xml:space="preserve">SensoryMinefieldMapper</t>
  </si>
  <si>
    <t xml:space="preserve">Predict and avoid overwhelming sensory environments</t>
  </si>
  <si>
    <t xml:space="preserve">Specialized audience — potential niche authority</t>
  </si>
  <si>
    <t xml:space="preserve">WardrobeChaosHelper</t>
  </si>
  <si>
    <t xml:space="preserve">AI picks your outfit</t>
  </si>
  <si>
    <t xml:space="preserve">Fashion SEO crowded</t>
  </si>
  <si>
    <t xml:space="preserve">AnalogyEngine</t>
  </si>
  <si>
    <t xml:space="preserve">Explain anything to anyone — using their world</t>
  </si>
  <si>
    <t xml:space="preserve">Abstract; no strong search intent</t>
  </si>
  <si>
    <t xml:space="preserve">BatchFlow</t>
  </si>
  <si>
    <t xml:space="preserve">Batch similar tasks to protect your focus</t>
  </si>
  <si>
    <t xml:space="preserve">Productivity SEO crowded</t>
  </si>
  <si>
    <t xml:space="preserve">Bookmark</t>
  </si>
  <si>
    <t xml:space="preserve">Pick up where you left off — without spoilers</t>
  </si>
  <si>
    <t xml:space="preserve">Niche entertainment</t>
  </si>
  <si>
    <t xml:space="preserve">ComebackCooker</t>
  </si>
  <si>
    <t xml:space="preserve">The perfect response you thought of 3 hours too late</t>
  </si>
  <si>
    <t xml:space="preserve">Niche</t>
  </si>
  <si>
    <t xml:space="preserve">DriveHome</t>
  </si>
  <si>
    <t xml:space="preserve">Your safety net for every drive</t>
  </si>
  <si>
    <t xml:space="preserve">FocusPocus</t>
  </si>
  <si>
    <t xml:space="preserve">Lock in. Get pulled out. Take care of yourself</t>
  </si>
  <si>
    <t xml:space="preserve">FocusSoundArchitect</t>
  </si>
  <si>
    <t xml:space="preserve">Personalized soundscapes for concentration</t>
  </si>
  <si>
    <t xml:space="preserve">'Music for focus' crowded</t>
  </si>
  <si>
    <t xml:space="preserve">FriendshipFadeAlerter</t>
  </si>
  <si>
    <t xml:space="preserve">Never lose touch with people you care about</t>
  </si>
  <si>
    <t xml:space="preserve">GentlePushGenerator</t>
  </si>
  <si>
    <t xml:space="preserve">Micro-challenges just outside your comfort zone</t>
  </si>
  <si>
    <t xml:space="preserve">Abstract</t>
  </si>
  <si>
    <t xml:space="preserve">HobbyMatch</t>
  </si>
  <si>
    <t xml:space="preserve">Discover hobbies you didn't know existed</t>
  </si>
  <si>
    <t xml:space="preserve">'How to find a hobby' crowded</t>
  </si>
  <si>
    <t xml:space="preserve">LazyWorkoutAdapter</t>
  </si>
  <si>
    <t xml:space="preserve">Low-barrier movement that meets you where you are</t>
  </si>
  <si>
    <t xml:space="preserve">Fitness SEO brutal</t>
  </si>
  <si>
    <t xml:space="preserve">MiseEnPlace</t>
  </si>
  <si>
    <t xml:space="preserve">Turn whatever's in your kitchen into a meal</t>
  </si>
  <si>
    <t xml:space="preserve">Recipe SEO brutal</t>
  </si>
  <si>
    <t xml:space="preserve">NameAudit</t>
  </si>
  <si>
    <t xml:space="preserve">Stress-test any name before you commit</t>
  </si>
  <si>
    <t xml:space="preserve">Founder-niche</t>
  </si>
  <si>
    <t xml:space="preserve">NameStorm</t>
  </si>
  <si>
    <t xml:space="preserve">Name anything. Know it works before you commit</t>
  </si>
  <si>
    <t xml:space="preserve">Recall</t>
  </si>
  <si>
    <t xml:space="preserve">Paste a lecture transcript — get the signal</t>
  </si>
  <si>
    <t xml:space="preserve">Student-niche</t>
  </si>
  <si>
    <t xml:space="preserve">RoomReader</t>
  </si>
  <si>
    <t xml:space="preserve">Read the room before you walk in</t>
  </si>
  <si>
    <t xml:space="preserve">SafeWalk</t>
  </si>
  <si>
    <t xml:space="preserve">Prepare smart, walk safe</t>
  </si>
  <si>
    <t xml:space="preserve">Safety niche, sensitive voice</t>
  </si>
  <si>
    <t xml:space="preserve">SignalVsNoise</t>
  </si>
  <si>
    <t xml:space="preserve">Cut through contradictions and find the evidence</t>
  </si>
  <si>
    <t xml:space="preserve">SocialEnergyAudit</t>
  </si>
  <si>
    <t xml:space="preserve">See where your energy goes</t>
  </si>
  <si>
    <t xml:space="preserve">SubSweep</t>
  </si>
  <si>
    <t xml:space="preserve">Find what you're wasting</t>
  </si>
  <si>
    <t xml:space="preserve">SubscriptionGuiltTrip overlap</t>
  </si>
  <si>
    <t xml:space="preserve">TaskAvalancheBreaker</t>
  </si>
  <si>
    <t xml:space="preserve">Turn that overwhelming mountain into micro-steps</t>
  </si>
  <si>
    <t xml:space="preserve">TheAlibi</t>
  </si>
  <si>
    <t xml:space="preserve">Frame your real story for any audience — honest but strategic</t>
  </si>
  <si>
    <t xml:space="preserve">TheDebrief</t>
  </si>
  <si>
    <t xml:space="preserve">Paste a meeting transcript — get decisions, actions</t>
  </si>
  <si>
    <t xml:space="preserve">TheGap</t>
  </si>
  <si>
    <t xml:space="preserve">Stuck on a concept? We'll find where your understanding broke</t>
  </si>
  <si>
    <t xml:space="preserve">TipOfTongue</t>
  </si>
  <si>
    <t xml:space="preserve">Describe it from memory — I'll figure out what it is</t>
  </si>
  <si>
    <t xml:space="preserve">VirtualBodyDouble</t>
  </si>
  <si>
    <t xml:space="preserve">A quiet coworking partner for solo tasks</t>
  </si>
  <si>
    <t xml:space="preserve">Body-doubling niche</t>
  </si>
  <si>
    <t xml:space="preserve">WaitingModeLiberator</t>
  </si>
  <si>
    <t xml:space="preserve">Break free when upcoming events freeze your day</t>
  </si>
  <si>
    <t xml:space="preserve">WhereDidTheTimeGo</t>
  </si>
  <si>
    <t xml:space="preserve">See the gap between where you think time went</t>
  </si>
  <si>
    <t xml:space="preserve">ContextCollapse</t>
  </si>
  <si>
    <t xml:space="preserve">See how different people will read the same message</t>
  </si>
  <si>
    <t xml:space="preserve">Too meta</t>
  </si>
  <si>
    <t xml:space="preserve">NoiseCanceler</t>
  </si>
  <si>
    <t xml:space="preserve">Extract only what affects you from any document</t>
  </si>
  <si>
    <t xml:space="preserve">AlternatePath</t>
  </si>
  <si>
    <t xml:space="preserve">What if history went differently?</t>
  </si>
  <si>
    <t xml:space="preserve">Speculative/entertainment</t>
  </si>
  <si>
    <t xml:space="preserve">ArgumentSimulator</t>
  </si>
  <si>
    <t xml:space="preserve">Drop a hot take. AI argues both sides</t>
  </si>
  <si>
    <t xml:space="preserve">Intellectual play</t>
  </si>
  <si>
    <t xml:space="preserve">BeliefStressTest</t>
  </si>
  <si>
    <t xml:space="preserve">Your guiding beliefs, pressure-tested</t>
  </si>
  <si>
    <t xml:space="preserve">Abstract self-reflection</t>
  </si>
  <si>
    <t xml:space="preserve">BrainRoulette</t>
  </si>
  <si>
    <t xml:space="preserve">Randomized tool discovery</t>
  </si>
  <si>
    <t xml:space="preserve">Meta/navigation</t>
  </si>
  <si>
    <t xml:space="preserve">BrainStateDeejay</t>
  </si>
  <si>
    <t xml:space="preserve">Science-backed playlists for your brain state</t>
  </si>
  <si>
    <t xml:space="preserve">Music-delivery, not SEO</t>
  </si>
  <si>
    <t xml:space="preserve">ChaosPilot</t>
  </si>
  <si>
    <t xml:space="preserve">One calculated disruption</t>
  </si>
  <si>
    <t xml:space="preserve">CrowdWisdom</t>
  </si>
  <si>
    <t xml:space="preserve">Five real perspectives on the choice</t>
  </si>
  <si>
    <t xml:space="preserve">Advice-style, not SEO</t>
  </si>
  <si>
    <t xml:space="preserve">DebateMe</t>
  </si>
  <si>
    <t xml:space="preserve">State your position. Face the strongest opposing case</t>
  </si>
  <si>
    <t xml:space="preserve">EgoKiller</t>
  </si>
  <si>
    <t xml:space="preserve">Intellectual demolition and reconstruction</t>
  </si>
  <si>
    <t xml:space="preserve">Personal-development abstract</t>
  </si>
  <si>
    <t xml:space="preserve">FanTheory</t>
  </si>
  <si>
    <t xml:space="preserve">Wild but defensible fan theories</t>
  </si>
  <si>
    <t xml:space="preserve">Entertainment</t>
  </si>
  <si>
    <t xml:space="preserve">FutureProof</t>
  </si>
  <si>
    <t xml:space="preserve">The 5-year trajectory on any skill</t>
  </si>
  <si>
    <t xml:space="preserve">Career-abstract</t>
  </si>
  <si>
    <t xml:space="preserve">GravityWell</t>
  </si>
  <si>
    <t xml:space="preserve">90-day plan to pull someone into your orbit</t>
  </si>
  <si>
    <t xml:space="preserve">Dating/networking, thin SEO</t>
  </si>
  <si>
    <t xml:space="preserve">HistoryToday</t>
  </si>
  <si>
    <t xml:space="preserve">Find the structural historical parallel</t>
  </si>
  <si>
    <t xml:space="preserve">Entertainment/education</t>
  </si>
  <si>
    <t xml:space="preserve">LedeBuilder</t>
  </si>
  <si>
    <t xml:space="preserve">Draft the human-feel opening for any SEO guide page</t>
  </si>
  <si>
    <t xml:space="preserve">INTERNAL TOOL (this pipeline)</t>
  </si>
  <si>
    <t xml:space="preserve">LeverageLogic</t>
  </si>
  <si>
    <t xml:space="preserve">Find the highest-yield opportunity</t>
  </si>
  <si>
    <t xml:space="preserve">LuckSurface</t>
  </si>
  <si>
    <t xml:space="preserve">Calculate your luck surface area</t>
  </si>
  <si>
    <t xml:space="preserve">OnePercenter</t>
  </si>
  <si>
    <t xml:space="preserve">The single 1% change with the largest compound effect</t>
  </si>
  <si>
    <t xml:space="preserve">PEP</t>
  </si>
  <si>
    <t xml:space="preserve">Personal Energy Planner</t>
  </si>
  <si>
    <t xml:space="preserve">PlotHole</t>
  </si>
  <si>
    <t xml:space="preserve">Find where the logic breaks in any movie/show</t>
  </si>
  <si>
    <t xml:space="preserve">RoastMe</t>
  </si>
  <si>
    <t xml:space="preserve">Get a personalized comedy roast</t>
  </si>
  <si>
    <t xml:space="preserve">SixDegreesOfMe</t>
  </si>
  <si>
    <t xml:space="preserve">Hidden chain between any two parts of your life</t>
  </si>
  <si>
    <t xml:space="preserve">TheFinalWord</t>
  </si>
  <si>
    <t xml:space="preserve">Arguments settled. Facts checked. No appeals</t>
  </si>
  <si>
    <t xml:space="preserve">Trivia</t>
  </si>
  <si>
    <t xml:space="preserve">TimeWarp</t>
  </si>
  <si>
    <t xml:space="preserve">Collide anything modern with any historical period</t>
  </si>
  <si>
    <t xml:space="preserve">ToolFinder</t>
  </si>
  <si>
    <t xml:space="preserve">Describe your problem — I'll find the right tool</t>
  </si>
  <si>
    <t xml:space="preserve">TruthBomb</t>
  </si>
  <si>
    <t xml:space="preserve">The thing about yourself you don't reveal</t>
  </si>
  <si>
    <t xml:space="preserve">Personal-reflection abstract</t>
  </si>
  <si>
    <t xml:space="preserve">WhatIf</t>
  </si>
  <si>
    <t xml:space="preserve">See the road not taken before you decide</t>
  </si>
  <si>
    <t xml:space="preserve">WhatsMyVibe</t>
  </si>
  <si>
    <t xml:space="preserve">Find out what you actually sound like</t>
  </si>
  <si>
    <t xml:space="preserve">Self-reflection</t>
  </si>
  <si>
    <t xml:space="preserve">WrongAnswersOnly</t>
  </si>
  <si>
    <t xml:space="preserve">Get a confidently, beautifully wrong answer</t>
  </si>
  <si>
    <t xml:space="preserve">Humor</t>
  </si>
  <si>
    <t xml:space="preserve">DeftBrain Guide Backlog — Legend</t>
  </si>
  <si>
    <t xml:space="preserve">Columns</t>
  </si>
  <si>
    <t xml:space="preserve">Sequential within the tool. For reference; not a URL.</t>
  </si>
  <si>
    <t xml:space="preserve">Which DeftBrain tool the guide CTAs to.</t>
  </si>
  <si>
    <t xml:space="preserve">Query-space cluster within this tool. Used for writing rhythm.</t>
  </si>
  <si>
    <t xml:space="preserve">The actual phrase someone would Google. The guide ranks for this.</t>
  </si>
  <si>
    <t xml:space="preserve">URL slug. Lowercase, hyphenated, apostrophes removed. Auto-derived from query.</t>
  </si>
  <si>
    <t xml:space="preserve">Top-level section on deftbrain.com/guides. Current: workplace, conversations.</t>
  </si>
  <si>
    <t xml:space="preserve">High / Medium / Low — by likely volume × intent × competitive fit.</t>
  </si>
  <si>
    <t xml:space="preserve">Candidate (not yet written) / Drafting / Shipped.</t>
  </si>
  <si>
    <t xml:space="preserve">Context, overlaps with other tools, voice flags, etc.</t>
  </si>
  <si>
    <t xml:space="preserve">Priority color coding</t>
  </si>
  <si>
    <t xml:space="preserve">Soft amber — the queries to write first.</t>
  </si>
  <si>
    <t xml:space="preserve">Soft yellow — second-wave candidates.</t>
  </si>
  <si>
    <t xml:space="preserve">Soft green — write only when cluster is nearly saturated.</t>
  </si>
  <si>
    <t xml:space="preserve">Voice flags</t>
  </si>
  <si>
    <t xml:space="preserve">Hard news cluster</t>
  </si>
  <si>
    <t xml:space="preserve">Standard voice rules do NOT apply. No dry humor. Full empathy register. When writing these, consider a modified voice spec.</t>
  </si>
  <si>
    <t xml:space="preserve">Overlap notes</t>
  </si>
  <si>
    <t xml:space="preserve">Some queries plausibly serve multiple tools. Triage is deferred until every tool has its own discovery pass. Marked 'OVERLAP' in Notes.</t>
  </si>
  <si>
    <t xml:space="preserve">Workflow</t>
  </si>
  <si>
    <t xml:space="preserve">1</t>
  </si>
  <si>
    <t xml:space="preserve">A tool's discovery pass adds its queries to the Backlog sheet.</t>
  </si>
  <si>
    <t xml:space="preserve">2</t>
  </si>
  <si>
    <t xml:space="preserve">Priorities and category assignments get reviewed.</t>
  </si>
  <si>
    <t xml:space="preserve">3</t>
  </si>
  <si>
    <t xml:space="preserve">Candidates are drafted (style guide + existing specs as reference).</t>
  </si>
  <si>
    <t xml:space="preserve">4</t>
  </si>
  <si>
    <t xml:space="preserve">Status moves to Shipped when the guide is live.</t>
  </si>
  <si>
    <t xml:space="preserve">5</t>
  </si>
  <si>
    <t xml:space="preserve">Summary sheet auto-updates from the Backlog via COUNTIFS formulas.</t>
  </si>
  <si>
    <t xml:space="preserve">Categories used</t>
  </si>
  <si>
    <t xml:space="preserve">Work/manager/coworker/team communication (existing).</t>
  </si>
  <si>
    <t xml:space="preserve">Personal conversations — partner, family, friends, hard news (new, introduced with DifficultTalkCoach pass).</t>
  </si>
  <si>
    <t xml:space="preserve">Buying, selling, negotiating, subscriptions, consumer defense (new, introduced with UpsellShield pass).</t>
  </si>
  <si>
    <t xml:space="preserve">Housing, rentals, leases, home ownership, household admin (introduced with LeaseTrapDetector pass).</t>
  </si>
  <si>
    <t xml:space="preserve">Patient-doctor communication, medical literacy, test results, medication, serious diagnoses (introduced with DoctorVisitTranslator pass; expanded with DoctorVisitPrep for visit-prep and advocacy strategy).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</si>
</sst>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E4A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A6B"/>
        <bgColor rgb="FF333333"/>
      </patternFill>
    </fill>
    <fill>
      <patternFill patternType="solid">
        <fgColor theme="6"/>
        <bgColor rgb="FF969696"/>
      </patternFill>
    </fill>
    <fill>
      <patternFill patternType="solid">
        <fgColor rgb="FFE7E6E6"/>
        <bgColor rgb="FFF4E7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2E4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E7E7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4E7E7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4E7E7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32" activePane="bottomLeft" state="frozen"/>
      <selection pane="topLeft" activeCell="B1" activeCellId="0" sqref="B1"/>
      <selection pane="bottomLeft" activeCell="E155" activeCellId="0" sqref="E15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5" min="5" style="1" width="48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1.75" hidden="false" customHeight="true" outlineLevel="0" collapsed="false">
      <c r="A2" s="3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customFormat="false" ht="21.75" hidden="false" customHeight="true" outlineLevel="0" collapsed="false">
      <c r="A3" s="3" t="n">
        <v>2</v>
      </c>
      <c r="B3" s="3" t="s">
        <v>9</v>
      </c>
      <c r="C3" s="3" t="s">
        <v>10</v>
      </c>
      <c r="D3" s="3" t="s">
        <v>17</v>
      </c>
      <c r="E3" s="3" t="s">
        <v>18</v>
      </c>
      <c r="F3" s="3" t="s">
        <v>13</v>
      </c>
      <c r="G3" s="3" t="s">
        <v>14</v>
      </c>
      <c r="H3" s="3" t="s">
        <v>15</v>
      </c>
      <c r="I3" s="3"/>
    </row>
    <row r="4" customFormat="false" ht="21.75" hidden="false" customHeight="true" outlineLevel="0" collapsed="false">
      <c r="A4" s="3" t="n">
        <v>3</v>
      </c>
      <c r="B4" s="3" t="s">
        <v>9</v>
      </c>
      <c r="C4" s="3" t="s">
        <v>10</v>
      </c>
      <c r="D4" s="3" t="s">
        <v>19</v>
      </c>
      <c r="E4" s="3" t="s">
        <v>20</v>
      </c>
      <c r="F4" s="3" t="s">
        <v>13</v>
      </c>
      <c r="G4" s="3" t="s">
        <v>14</v>
      </c>
      <c r="H4" s="3" t="s">
        <v>15</v>
      </c>
      <c r="I4" s="3"/>
    </row>
    <row r="5" customFormat="false" ht="21.75" hidden="false" customHeight="true" outlineLevel="0" collapsed="false">
      <c r="A5" s="3" t="n">
        <v>4</v>
      </c>
      <c r="B5" s="3" t="s">
        <v>9</v>
      </c>
      <c r="C5" s="3" t="s">
        <v>10</v>
      </c>
      <c r="D5" s="3" t="s">
        <v>21</v>
      </c>
      <c r="E5" s="3" t="s">
        <v>22</v>
      </c>
      <c r="F5" s="3" t="s">
        <v>13</v>
      </c>
      <c r="G5" s="3" t="s">
        <v>14</v>
      </c>
      <c r="H5" s="3" t="s">
        <v>15</v>
      </c>
      <c r="I5" s="3"/>
    </row>
    <row r="6" customFormat="false" ht="21.75" hidden="false" customHeight="true" outlineLevel="0" collapsed="false">
      <c r="A6" s="3" t="n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 t="s">
        <v>13</v>
      </c>
      <c r="G6" s="3" t="s">
        <v>14</v>
      </c>
      <c r="H6" s="4" t="s">
        <v>15</v>
      </c>
      <c r="I6" s="3"/>
    </row>
    <row r="7" customFormat="false" ht="21.75" hidden="false" customHeight="true" outlineLevel="0" collapsed="false">
      <c r="A7" s="3" t="n">
        <v>6</v>
      </c>
      <c r="B7" s="3" t="s">
        <v>9</v>
      </c>
      <c r="C7" s="3" t="s">
        <v>10</v>
      </c>
      <c r="D7" s="3" t="s">
        <v>25</v>
      </c>
      <c r="E7" s="3" t="s">
        <v>26</v>
      </c>
      <c r="F7" s="3" t="s">
        <v>13</v>
      </c>
      <c r="G7" s="3" t="s">
        <v>14</v>
      </c>
      <c r="H7" s="3" t="s">
        <v>27</v>
      </c>
      <c r="I7" s="3" t="s">
        <v>28</v>
      </c>
    </row>
    <row r="8" customFormat="false" ht="21.75" hidden="false" customHeight="true" outlineLevel="0" collapsed="false">
      <c r="A8" s="3" t="n">
        <v>7</v>
      </c>
      <c r="B8" s="3" t="s">
        <v>9</v>
      </c>
      <c r="C8" s="3" t="s">
        <v>10</v>
      </c>
      <c r="D8" s="3" t="s">
        <v>29</v>
      </c>
      <c r="E8" s="3" t="s">
        <v>30</v>
      </c>
      <c r="F8" s="3" t="s">
        <v>13</v>
      </c>
      <c r="G8" s="3" t="s">
        <v>14</v>
      </c>
      <c r="H8" s="3" t="s">
        <v>27</v>
      </c>
      <c r="I8" s="3" t="s">
        <v>31</v>
      </c>
    </row>
    <row r="9" customFormat="false" ht="21.75" hidden="false" customHeight="true" outlineLevel="0" collapsed="false">
      <c r="A9" s="3" t="n">
        <v>8</v>
      </c>
      <c r="B9" s="3" t="s">
        <v>9</v>
      </c>
      <c r="C9" s="3" t="s">
        <v>10</v>
      </c>
      <c r="D9" s="3" t="s">
        <v>32</v>
      </c>
      <c r="E9" s="3" t="s">
        <v>33</v>
      </c>
      <c r="F9" s="3" t="s">
        <v>13</v>
      </c>
      <c r="G9" s="3" t="s">
        <v>14</v>
      </c>
      <c r="H9" s="3" t="s">
        <v>27</v>
      </c>
      <c r="I9" s="3" t="s">
        <v>34</v>
      </c>
    </row>
    <row r="10" customFormat="false" ht="21.75" hidden="false" customHeight="true" outlineLevel="0" collapsed="false">
      <c r="A10" s="3" t="n">
        <v>9</v>
      </c>
      <c r="B10" s="3" t="s">
        <v>9</v>
      </c>
      <c r="C10" s="3" t="s">
        <v>10</v>
      </c>
      <c r="D10" s="3" t="s">
        <v>35</v>
      </c>
      <c r="E10" s="3" t="s">
        <v>36</v>
      </c>
      <c r="F10" s="3" t="s">
        <v>13</v>
      </c>
      <c r="G10" s="3" t="s">
        <v>14</v>
      </c>
      <c r="H10" s="3" t="s">
        <v>27</v>
      </c>
      <c r="I10" s="3" t="s">
        <v>37</v>
      </c>
    </row>
    <row r="11" customFormat="false" ht="21.75" hidden="false" customHeight="true" outlineLevel="0" collapsed="false">
      <c r="A11" s="3" t="n">
        <v>15</v>
      </c>
      <c r="B11" s="3" t="s">
        <v>9</v>
      </c>
      <c r="C11" s="3" t="s">
        <v>38</v>
      </c>
      <c r="D11" s="3" t="s">
        <v>39</v>
      </c>
      <c r="E11" s="3" t="s">
        <v>40</v>
      </c>
      <c r="F11" s="3" t="s">
        <v>13</v>
      </c>
      <c r="G11" s="3" t="s">
        <v>14</v>
      </c>
      <c r="H11" s="3" t="s">
        <v>27</v>
      </c>
      <c r="I11" s="3" t="s">
        <v>41</v>
      </c>
    </row>
    <row r="12" customFormat="false" ht="21.75" hidden="false" customHeight="true" outlineLevel="0" collapsed="false">
      <c r="A12" s="3" t="n">
        <v>16</v>
      </c>
      <c r="B12" s="3" t="s">
        <v>9</v>
      </c>
      <c r="C12" s="3" t="s">
        <v>38</v>
      </c>
      <c r="D12" s="3" t="s">
        <v>42</v>
      </c>
      <c r="E12" s="3" t="s">
        <v>43</v>
      </c>
      <c r="F12" s="3" t="s">
        <v>13</v>
      </c>
      <c r="G12" s="3" t="s">
        <v>14</v>
      </c>
      <c r="H12" s="3" t="s">
        <v>27</v>
      </c>
      <c r="I12" s="3" t="s">
        <v>44</v>
      </c>
    </row>
    <row r="13" customFormat="false" ht="21.75" hidden="false" customHeight="true" outlineLevel="0" collapsed="false">
      <c r="A13" s="3" t="n">
        <v>17</v>
      </c>
      <c r="B13" s="3" t="s">
        <v>9</v>
      </c>
      <c r="C13" s="3" t="s">
        <v>38</v>
      </c>
      <c r="D13" s="3" t="s">
        <v>45</v>
      </c>
      <c r="E13" s="3" t="s">
        <v>46</v>
      </c>
      <c r="F13" s="3" t="s">
        <v>13</v>
      </c>
      <c r="G13" s="3" t="s">
        <v>14</v>
      </c>
      <c r="H13" s="3" t="s">
        <v>27</v>
      </c>
      <c r="I13" s="3" t="s">
        <v>47</v>
      </c>
    </row>
    <row r="14" customFormat="false" ht="21.75" hidden="false" customHeight="true" outlineLevel="0" collapsed="false">
      <c r="A14" s="3" t="n">
        <v>18</v>
      </c>
      <c r="B14" s="3" t="s">
        <v>9</v>
      </c>
      <c r="C14" s="3" t="s">
        <v>38</v>
      </c>
      <c r="D14" s="3" t="s">
        <v>48</v>
      </c>
      <c r="E14" s="3" t="s">
        <v>49</v>
      </c>
      <c r="F14" s="3" t="s">
        <v>13</v>
      </c>
      <c r="G14" s="3" t="s">
        <v>14</v>
      </c>
      <c r="H14" s="3" t="s">
        <v>27</v>
      </c>
      <c r="I14" s="3" t="s">
        <v>50</v>
      </c>
    </row>
    <row r="15" customFormat="false" ht="21.75" hidden="false" customHeight="true" outlineLevel="0" collapsed="false">
      <c r="A15" s="3" t="n">
        <v>19</v>
      </c>
      <c r="B15" s="3" t="s">
        <v>9</v>
      </c>
      <c r="C15" s="3" t="s">
        <v>38</v>
      </c>
      <c r="D15" s="3" t="s">
        <v>51</v>
      </c>
      <c r="E15" s="3" t="s">
        <v>52</v>
      </c>
      <c r="F15" s="3" t="s">
        <v>13</v>
      </c>
      <c r="G15" s="3" t="s">
        <v>14</v>
      </c>
      <c r="H15" s="3" t="s">
        <v>27</v>
      </c>
      <c r="I15" s="3" t="s">
        <v>53</v>
      </c>
    </row>
    <row r="16" customFormat="false" ht="21.75" hidden="false" customHeight="true" outlineLevel="0" collapsed="false">
      <c r="A16" s="3" t="n">
        <v>20</v>
      </c>
      <c r="B16" s="3" t="s">
        <v>9</v>
      </c>
      <c r="C16" s="3" t="s">
        <v>38</v>
      </c>
      <c r="D16" s="3" t="s">
        <v>54</v>
      </c>
      <c r="E16" s="3" t="s">
        <v>55</v>
      </c>
      <c r="F16" s="3" t="s">
        <v>13</v>
      </c>
      <c r="G16" s="3" t="s">
        <v>14</v>
      </c>
      <c r="H16" s="3" t="s">
        <v>27</v>
      </c>
      <c r="I16" s="3" t="s">
        <v>56</v>
      </c>
    </row>
    <row r="17" customFormat="false" ht="21.75" hidden="false" customHeight="true" outlineLevel="0" collapsed="false">
      <c r="A17" s="3" t="n">
        <v>29</v>
      </c>
      <c r="B17" s="3" t="s">
        <v>9</v>
      </c>
      <c r="C17" s="3" t="s">
        <v>57</v>
      </c>
      <c r="D17" s="3" t="s">
        <v>58</v>
      </c>
      <c r="E17" s="3" t="s">
        <v>59</v>
      </c>
      <c r="F17" s="3" t="s">
        <v>13</v>
      </c>
      <c r="G17" s="3" t="s">
        <v>14</v>
      </c>
      <c r="H17" s="3" t="s">
        <v>27</v>
      </c>
      <c r="I17" s="3" t="s">
        <v>60</v>
      </c>
    </row>
    <row r="18" customFormat="false" ht="21.75" hidden="false" customHeight="true" outlineLevel="0" collapsed="false">
      <c r="A18" s="3" t="n">
        <v>30</v>
      </c>
      <c r="B18" s="3" t="s">
        <v>9</v>
      </c>
      <c r="C18" s="3" t="s">
        <v>57</v>
      </c>
      <c r="D18" s="3" t="s">
        <v>61</v>
      </c>
      <c r="E18" s="3" t="s">
        <v>62</v>
      </c>
      <c r="F18" s="3" t="s">
        <v>13</v>
      </c>
      <c r="G18" s="3" t="s">
        <v>14</v>
      </c>
      <c r="H18" s="3" t="s">
        <v>27</v>
      </c>
      <c r="I18" s="3" t="s">
        <v>63</v>
      </c>
    </row>
    <row r="19" customFormat="false" ht="21.75" hidden="false" customHeight="true" outlineLevel="0" collapsed="false">
      <c r="A19" s="3" t="n">
        <v>31</v>
      </c>
      <c r="B19" s="3" t="s">
        <v>9</v>
      </c>
      <c r="C19" s="3" t="s">
        <v>57</v>
      </c>
      <c r="D19" s="3" t="s">
        <v>64</v>
      </c>
      <c r="E19" s="3" t="s">
        <v>65</v>
      </c>
      <c r="F19" s="3" t="s">
        <v>13</v>
      </c>
      <c r="G19" s="3" t="s">
        <v>14</v>
      </c>
      <c r="H19" s="3" t="s">
        <v>27</v>
      </c>
      <c r="I19" s="3" t="s">
        <v>66</v>
      </c>
    </row>
    <row r="20" customFormat="false" ht="21.75" hidden="false" customHeight="true" outlineLevel="0" collapsed="false">
      <c r="A20" s="3" t="n">
        <v>32</v>
      </c>
      <c r="B20" s="3" t="s">
        <v>9</v>
      </c>
      <c r="C20" s="3" t="s">
        <v>57</v>
      </c>
      <c r="D20" s="3" t="s">
        <v>67</v>
      </c>
      <c r="E20" s="3" t="s">
        <v>68</v>
      </c>
      <c r="F20" s="3" t="s">
        <v>13</v>
      </c>
      <c r="G20" s="3" t="s">
        <v>14</v>
      </c>
      <c r="H20" s="3" t="s">
        <v>27</v>
      </c>
      <c r="I20" s="3" t="s">
        <v>69</v>
      </c>
    </row>
    <row r="21" customFormat="false" ht="21.75" hidden="false" customHeight="true" outlineLevel="0" collapsed="false">
      <c r="A21" s="3" t="n">
        <v>39</v>
      </c>
      <c r="B21" s="3" t="s">
        <v>9</v>
      </c>
      <c r="C21" s="3" t="s">
        <v>70</v>
      </c>
      <c r="D21" s="3" t="s">
        <v>71</v>
      </c>
      <c r="E21" s="3" t="s">
        <v>72</v>
      </c>
      <c r="F21" s="3" t="s">
        <v>73</v>
      </c>
      <c r="G21" s="3" t="s">
        <v>14</v>
      </c>
      <c r="H21" s="3" t="s">
        <v>27</v>
      </c>
      <c r="I21" s="3" t="s">
        <v>74</v>
      </c>
    </row>
    <row r="22" customFormat="false" ht="21.75" hidden="false" customHeight="true" outlineLevel="0" collapsed="false">
      <c r="A22" s="3" t="n">
        <v>40</v>
      </c>
      <c r="B22" s="3" t="s">
        <v>9</v>
      </c>
      <c r="C22" s="3" t="s">
        <v>70</v>
      </c>
      <c r="D22" s="3" t="s">
        <v>75</v>
      </c>
      <c r="E22" s="3" t="s">
        <v>76</v>
      </c>
      <c r="F22" s="3" t="s">
        <v>73</v>
      </c>
      <c r="G22" s="3" t="s">
        <v>14</v>
      </c>
      <c r="H22" s="3" t="s">
        <v>27</v>
      </c>
      <c r="I22" s="3" t="s">
        <v>77</v>
      </c>
    </row>
    <row r="23" customFormat="false" ht="21.75" hidden="false" customHeight="true" outlineLevel="0" collapsed="false">
      <c r="A23" s="3" t="n">
        <v>41</v>
      </c>
      <c r="B23" s="3" t="s">
        <v>9</v>
      </c>
      <c r="C23" s="3" t="s">
        <v>70</v>
      </c>
      <c r="D23" s="3" t="s">
        <v>78</v>
      </c>
      <c r="E23" s="3" t="s">
        <v>79</v>
      </c>
      <c r="F23" s="3" t="s">
        <v>73</v>
      </c>
      <c r="G23" s="3" t="s">
        <v>14</v>
      </c>
      <c r="H23" s="3" t="s">
        <v>27</v>
      </c>
      <c r="I23" s="3" t="s">
        <v>80</v>
      </c>
    </row>
    <row r="24" customFormat="false" ht="21.75" hidden="false" customHeight="true" outlineLevel="0" collapsed="false">
      <c r="A24" s="3" t="n">
        <v>42</v>
      </c>
      <c r="B24" s="3" t="s">
        <v>9</v>
      </c>
      <c r="C24" s="3" t="s">
        <v>70</v>
      </c>
      <c r="D24" s="3" t="s">
        <v>81</v>
      </c>
      <c r="E24" s="3" t="s">
        <v>82</v>
      </c>
      <c r="F24" s="3" t="s">
        <v>73</v>
      </c>
      <c r="G24" s="3" t="s">
        <v>14</v>
      </c>
      <c r="H24" s="3" t="s">
        <v>27</v>
      </c>
      <c r="I24" s="3" t="s">
        <v>83</v>
      </c>
    </row>
    <row r="25" customFormat="false" ht="21.75" hidden="false" customHeight="true" outlineLevel="0" collapsed="false">
      <c r="A25" s="3" t="n">
        <v>43</v>
      </c>
      <c r="B25" s="3" t="s">
        <v>9</v>
      </c>
      <c r="C25" s="3" t="s">
        <v>70</v>
      </c>
      <c r="D25" s="3" t="s">
        <v>84</v>
      </c>
      <c r="E25" s="3" t="s">
        <v>85</v>
      </c>
      <c r="F25" s="3" t="s">
        <v>73</v>
      </c>
      <c r="G25" s="3" t="s">
        <v>14</v>
      </c>
      <c r="H25" s="3" t="s">
        <v>27</v>
      </c>
      <c r="I25" s="3" t="s">
        <v>86</v>
      </c>
    </row>
    <row r="26" customFormat="false" ht="21.75" hidden="false" customHeight="true" outlineLevel="0" collapsed="false">
      <c r="A26" s="3" t="n">
        <v>52</v>
      </c>
      <c r="B26" s="3" t="s">
        <v>9</v>
      </c>
      <c r="C26" s="3" t="s">
        <v>87</v>
      </c>
      <c r="D26" s="3" t="s">
        <v>88</v>
      </c>
      <c r="E26" s="3" t="s">
        <v>89</v>
      </c>
      <c r="F26" s="3" t="s">
        <v>73</v>
      </c>
      <c r="G26" s="3" t="s">
        <v>14</v>
      </c>
      <c r="H26" s="3" t="s">
        <v>27</v>
      </c>
      <c r="I26" s="3" t="s">
        <v>90</v>
      </c>
    </row>
    <row r="27" customFormat="false" ht="21.75" hidden="false" customHeight="true" outlineLevel="0" collapsed="false">
      <c r="A27" s="3" t="n">
        <v>53</v>
      </c>
      <c r="B27" s="3" t="s">
        <v>9</v>
      </c>
      <c r="C27" s="3" t="s">
        <v>87</v>
      </c>
      <c r="D27" s="3" t="s">
        <v>91</v>
      </c>
      <c r="E27" s="3" t="s">
        <v>92</v>
      </c>
      <c r="F27" s="3" t="s">
        <v>73</v>
      </c>
      <c r="G27" s="3" t="s">
        <v>14</v>
      </c>
      <c r="H27" s="3" t="s">
        <v>27</v>
      </c>
      <c r="I27" s="3" t="s">
        <v>93</v>
      </c>
    </row>
    <row r="28" customFormat="false" ht="21.75" hidden="false" customHeight="true" outlineLevel="0" collapsed="false">
      <c r="A28" s="3" t="n">
        <v>54</v>
      </c>
      <c r="B28" s="3" t="s">
        <v>9</v>
      </c>
      <c r="C28" s="3" t="s">
        <v>87</v>
      </c>
      <c r="D28" s="3" t="s">
        <v>94</v>
      </c>
      <c r="E28" s="3" t="s">
        <v>95</v>
      </c>
      <c r="F28" s="3" t="s">
        <v>73</v>
      </c>
      <c r="G28" s="3" t="s">
        <v>14</v>
      </c>
      <c r="H28" s="3" t="s">
        <v>27</v>
      </c>
      <c r="I28" s="3" t="s">
        <v>96</v>
      </c>
    </row>
    <row r="29" customFormat="false" ht="21.75" hidden="false" customHeight="true" outlineLevel="0" collapsed="false">
      <c r="A29" s="3" t="n">
        <v>55</v>
      </c>
      <c r="B29" s="3" t="s">
        <v>9</v>
      </c>
      <c r="C29" s="3" t="s">
        <v>87</v>
      </c>
      <c r="D29" s="3" t="s">
        <v>97</v>
      </c>
      <c r="E29" s="3" t="s">
        <v>98</v>
      </c>
      <c r="F29" s="3" t="s">
        <v>73</v>
      </c>
      <c r="G29" s="3" t="s">
        <v>14</v>
      </c>
      <c r="H29" s="3" t="s">
        <v>27</v>
      </c>
      <c r="I29" s="3" t="s">
        <v>99</v>
      </c>
    </row>
    <row r="30" customFormat="false" ht="21.75" hidden="false" customHeight="true" outlineLevel="0" collapsed="false">
      <c r="A30" s="3" t="n">
        <v>64</v>
      </c>
      <c r="B30" s="3" t="s">
        <v>9</v>
      </c>
      <c r="C30" s="3" t="s">
        <v>100</v>
      </c>
      <c r="D30" s="3" t="s">
        <v>101</v>
      </c>
      <c r="E30" s="3" t="s">
        <v>102</v>
      </c>
      <c r="F30" s="3" t="s">
        <v>73</v>
      </c>
      <c r="G30" s="3" t="s">
        <v>14</v>
      </c>
      <c r="H30" s="3" t="s">
        <v>27</v>
      </c>
      <c r="I30" s="3" t="s">
        <v>103</v>
      </c>
    </row>
    <row r="31" customFormat="false" ht="21.75" hidden="false" customHeight="true" outlineLevel="0" collapsed="false">
      <c r="A31" s="3" t="n">
        <v>65</v>
      </c>
      <c r="B31" s="3" t="s">
        <v>9</v>
      </c>
      <c r="C31" s="3" t="s">
        <v>100</v>
      </c>
      <c r="D31" s="3" t="s">
        <v>104</v>
      </c>
      <c r="E31" s="3" t="s">
        <v>105</v>
      </c>
      <c r="F31" s="3" t="s">
        <v>73</v>
      </c>
      <c r="G31" s="3" t="s">
        <v>14</v>
      </c>
      <c r="H31" s="3" t="s">
        <v>27</v>
      </c>
      <c r="I31" s="3" t="s">
        <v>106</v>
      </c>
    </row>
    <row r="32" customFormat="false" ht="21.75" hidden="false" customHeight="true" outlineLevel="0" collapsed="false">
      <c r="A32" s="3" t="n">
        <v>66</v>
      </c>
      <c r="B32" s="3" t="s">
        <v>9</v>
      </c>
      <c r="C32" s="3" t="s">
        <v>100</v>
      </c>
      <c r="D32" s="3" t="s">
        <v>107</v>
      </c>
      <c r="E32" s="3" t="s">
        <v>108</v>
      </c>
      <c r="F32" s="3" t="s">
        <v>73</v>
      </c>
      <c r="G32" s="3" t="s">
        <v>14</v>
      </c>
      <c r="H32" s="3" t="s">
        <v>27</v>
      </c>
      <c r="I32" s="3" t="s">
        <v>109</v>
      </c>
    </row>
    <row r="33" customFormat="false" ht="21.75" hidden="false" customHeight="true" outlineLevel="0" collapsed="false">
      <c r="A33" s="3" t="n">
        <v>67</v>
      </c>
      <c r="B33" s="3" t="s">
        <v>9</v>
      </c>
      <c r="C33" s="3" t="s">
        <v>100</v>
      </c>
      <c r="D33" s="3" t="s">
        <v>110</v>
      </c>
      <c r="E33" s="3" t="s">
        <v>111</v>
      </c>
      <c r="F33" s="3" t="s">
        <v>73</v>
      </c>
      <c r="G33" s="3" t="s">
        <v>14</v>
      </c>
      <c r="H33" s="3" t="s">
        <v>27</v>
      </c>
      <c r="I33" s="3" t="s">
        <v>112</v>
      </c>
    </row>
    <row r="34" customFormat="false" ht="21.75" hidden="false" customHeight="true" outlineLevel="0" collapsed="false">
      <c r="A34" s="3" t="n">
        <v>73</v>
      </c>
      <c r="B34" s="3" t="s">
        <v>9</v>
      </c>
      <c r="C34" s="3" t="s">
        <v>113</v>
      </c>
      <c r="D34" s="3" t="s">
        <v>114</v>
      </c>
      <c r="E34" s="3" t="s">
        <v>115</v>
      </c>
      <c r="F34" s="3" t="s">
        <v>73</v>
      </c>
      <c r="G34" s="3" t="s">
        <v>14</v>
      </c>
      <c r="H34" s="3" t="s">
        <v>27</v>
      </c>
      <c r="I34" s="3" t="s">
        <v>116</v>
      </c>
    </row>
    <row r="35" customFormat="false" ht="21.75" hidden="false" customHeight="true" outlineLevel="0" collapsed="false">
      <c r="A35" s="3" t="n">
        <v>74</v>
      </c>
      <c r="B35" s="3" t="s">
        <v>9</v>
      </c>
      <c r="C35" s="3" t="s">
        <v>113</v>
      </c>
      <c r="D35" s="3" t="s">
        <v>117</v>
      </c>
      <c r="E35" s="3" t="s">
        <v>118</v>
      </c>
      <c r="F35" s="3" t="s">
        <v>73</v>
      </c>
      <c r="G35" s="3" t="s">
        <v>14</v>
      </c>
      <c r="H35" s="3" t="s">
        <v>27</v>
      </c>
      <c r="I35" s="3" t="s">
        <v>116</v>
      </c>
    </row>
    <row r="36" customFormat="false" ht="21.75" hidden="false" customHeight="true" outlineLevel="0" collapsed="false">
      <c r="A36" s="3" t="n">
        <v>75</v>
      </c>
      <c r="B36" s="3" t="s">
        <v>9</v>
      </c>
      <c r="C36" s="3" t="s">
        <v>113</v>
      </c>
      <c r="D36" s="3" t="s">
        <v>119</v>
      </c>
      <c r="E36" s="3" t="s">
        <v>120</v>
      </c>
      <c r="F36" s="3" t="s">
        <v>73</v>
      </c>
      <c r="G36" s="3" t="s">
        <v>14</v>
      </c>
      <c r="H36" s="3" t="s">
        <v>27</v>
      </c>
      <c r="I36" s="3" t="s">
        <v>116</v>
      </c>
    </row>
    <row r="37" customFormat="false" ht="21.75" hidden="false" customHeight="true" outlineLevel="0" collapsed="false">
      <c r="A37" s="3" t="n">
        <v>79</v>
      </c>
      <c r="B37" s="3" t="s">
        <v>9</v>
      </c>
      <c r="C37" s="3" t="s">
        <v>121</v>
      </c>
      <c r="D37" s="3" t="s">
        <v>122</v>
      </c>
      <c r="E37" s="3" t="s">
        <v>123</v>
      </c>
      <c r="F37" s="3" t="s">
        <v>73</v>
      </c>
      <c r="G37" s="3" t="s">
        <v>14</v>
      </c>
      <c r="H37" s="3" t="s">
        <v>27</v>
      </c>
      <c r="I37" s="3" t="s">
        <v>124</v>
      </c>
    </row>
    <row r="38" customFormat="false" ht="21.75" hidden="false" customHeight="true" outlineLevel="0" collapsed="false">
      <c r="A38" s="3" t="n">
        <v>80</v>
      </c>
      <c r="B38" s="3" t="s">
        <v>9</v>
      </c>
      <c r="C38" s="3" t="s">
        <v>121</v>
      </c>
      <c r="D38" s="3" t="s">
        <v>125</v>
      </c>
      <c r="E38" s="3" t="s">
        <v>126</v>
      </c>
      <c r="F38" s="3" t="s">
        <v>73</v>
      </c>
      <c r="G38" s="3" t="s">
        <v>14</v>
      </c>
      <c r="H38" s="3" t="s">
        <v>27</v>
      </c>
      <c r="I38" s="3" t="s">
        <v>127</v>
      </c>
    </row>
    <row r="39" customFormat="false" ht="21.75" hidden="false" customHeight="true" outlineLevel="0" collapsed="false">
      <c r="A39" s="3" t="n">
        <v>81</v>
      </c>
      <c r="B39" s="3" t="s">
        <v>9</v>
      </c>
      <c r="C39" s="3" t="s">
        <v>121</v>
      </c>
      <c r="D39" s="3" t="s">
        <v>128</v>
      </c>
      <c r="E39" s="3" t="s">
        <v>129</v>
      </c>
      <c r="F39" s="3" t="s">
        <v>73</v>
      </c>
      <c r="G39" s="3" t="s">
        <v>14</v>
      </c>
      <c r="H39" s="3" t="s">
        <v>27</v>
      </c>
      <c r="I39" s="3" t="s">
        <v>130</v>
      </c>
    </row>
    <row r="40" customFormat="false" ht="21.75" hidden="false" customHeight="true" outlineLevel="0" collapsed="false">
      <c r="A40" s="3" t="n">
        <v>82</v>
      </c>
      <c r="B40" s="3" t="s">
        <v>9</v>
      </c>
      <c r="C40" s="3" t="s">
        <v>121</v>
      </c>
      <c r="D40" s="3" t="s">
        <v>131</v>
      </c>
      <c r="E40" s="3" t="s">
        <v>132</v>
      </c>
      <c r="F40" s="3" t="s">
        <v>73</v>
      </c>
      <c r="G40" s="3" t="s">
        <v>14</v>
      </c>
      <c r="H40" s="3" t="s">
        <v>27</v>
      </c>
      <c r="I40" s="3" t="s">
        <v>133</v>
      </c>
    </row>
    <row r="41" customFormat="false" ht="21.75" hidden="false" customHeight="true" outlineLevel="0" collapsed="false">
      <c r="A41" s="3" t="n">
        <v>86</v>
      </c>
      <c r="B41" s="3" t="s">
        <v>9</v>
      </c>
      <c r="C41" s="3" t="s">
        <v>134</v>
      </c>
      <c r="D41" s="3" t="s">
        <v>135</v>
      </c>
      <c r="E41" s="3" t="s">
        <v>136</v>
      </c>
      <c r="F41" s="3" t="s">
        <v>73</v>
      </c>
      <c r="G41" s="3" t="s">
        <v>14</v>
      </c>
      <c r="H41" s="3" t="s">
        <v>27</v>
      </c>
      <c r="I41" s="3" t="s">
        <v>137</v>
      </c>
    </row>
    <row r="42" customFormat="false" ht="21.75" hidden="false" customHeight="true" outlineLevel="0" collapsed="false">
      <c r="A42" s="3" t="n">
        <v>87</v>
      </c>
      <c r="B42" s="3" t="s">
        <v>9</v>
      </c>
      <c r="C42" s="3" t="s">
        <v>134</v>
      </c>
      <c r="D42" s="3" t="s">
        <v>138</v>
      </c>
      <c r="E42" s="3" t="s">
        <v>139</v>
      </c>
      <c r="F42" s="3" t="s">
        <v>73</v>
      </c>
      <c r="G42" s="3" t="s">
        <v>14</v>
      </c>
      <c r="H42" s="3" t="s">
        <v>27</v>
      </c>
      <c r="I42" s="3" t="s">
        <v>140</v>
      </c>
    </row>
    <row r="43" customFormat="false" ht="21.75" hidden="false" customHeight="true" outlineLevel="0" collapsed="false">
      <c r="A43" s="3" t="n">
        <v>88</v>
      </c>
      <c r="B43" s="3" t="s">
        <v>9</v>
      </c>
      <c r="C43" s="3" t="s">
        <v>134</v>
      </c>
      <c r="D43" s="3" t="s">
        <v>141</v>
      </c>
      <c r="E43" s="3" t="s">
        <v>142</v>
      </c>
      <c r="F43" s="3" t="s">
        <v>73</v>
      </c>
      <c r="G43" s="3" t="s">
        <v>14</v>
      </c>
      <c r="H43" s="3" t="s">
        <v>27</v>
      </c>
      <c r="I43" s="3" t="s">
        <v>143</v>
      </c>
    </row>
    <row r="44" customFormat="false" ht="21.75" hidden="false" customHeight="true" outlineLevel="0" collapsed="false">
      <c r="A44" s="3" t="n">
        <v>92</v>
      </c>
      <c r="B44" s="3" t="s">
        <v>9</v>
      </c>
      <c r="C44" s="3" t="s">
        <v>144</v>
      </c>
      <c r="D44" s="3" t="s">
        <v>145</v>
      </c>
      <c r="E44" s="3" t="s">
        <v>146</v>
      </c>
      <c r="F44" s="3" t="s">
        <v>73</v>
      </c>
      <c r="G44" s="3" t="s">
        <v>14</v>
      </c>
      <c r="H44" s="3" t="s">
        <v>27</v>
      </c>
      <c r="I44" s="3" t="s">
        <v>147</v>
      </c>
    </row>
    <row r="45" customFormat="false" ht="21.75" hidden="false" customHeight="true" outlineLevel="0" collapsed="false">
      <c r="A45" s="3" t="n">
        <v>14</v>
      </c>
      <c r="B45" s="3" t="s">
        <v>9</v>
      </c>
      <c r="C45" s="3" t="s">
        <v>10</v>
      </c>
      <c r="D45" s="3" t="s">
        <v>148</v>
      </c>
      <c r="E45" s="3" t="s">
        <v>149</v>
      </c>
      <c r="F45" s="3" t="s">
        <v>13</v>
      </c>
      <c r="G45" s="3" t="s">
        <v>150</v>
      </c>
      <c r="H45" s="3" t="s">
        <v>27</v>
      </c>
      <c r="I45" s="3" t="s">
        <v>151</v>
      </c>
    </row>
    <row r="46" customFormat="false" ht="21.75" hidden="false" customHeight="true" outlineLevel="0" collapsed="false">
      <c r="A46" s="3" t="n">
        <v>28</v>
      </c>
      <c r="B46" s="3" t="s">
        <v>9</v>
      </c>
      <c r="C46" s="3" t="s">
        <v>38</v>
      </c>
      <c r="D46" s="3" t="s">
        <v>152</v>
      </c>
      <c r="E46" s="3" t="s">
        <v>153</v>
      </c>
      <c r="F46" s="3" t="s">
        <v>13</v>
      </c>
      <c r="G46" s="3" t="s">
        <v>150</v>
      </c>
      <c r="H46" s="3" t="s">
        <v>27</v>
      </c>
      <c r="I46" s="3" t="s">
        <v>154</v>
      </c>
    </row>
    <row r="47" customFormat="false" ht="21.75" hidden="false" customHeight="true" outlineLevel="0" collapsed="false">
      <c r="A47" s="3" t="n">
        <v>38</v>
      </c>
      <c r="B47" s="3" t="s">
        <v>9</v>
      </c>
      <c r="C47" s="3" t="s">
        <v>57</v>
      </c>
      <c r="D47" s="3" t="s">
        <v>155</v>
      </c>
      <c r="E47" s="3" t="s">
        <v>156</v>
      </c>
      <c r="F47" s="3" t="s">
        <v>13</v>
      </c>
      <c r="G47" s="3" t="s">
        <v>150</v>
      </c>
      <c r="H47" s="3" t="s">
        <v>27</v>
      </c>
      <c r="I47" s="3" t="s">
        <v>157</v>
      </c>
    </row>
    <row r="48" customFormat="false" ht="21.75" hidden="false" customHeight="true" outlineLevel="0" collapsed="false">
      <c r="A48" s="3" t="n">
        <v>51</v>
      </c>
      <c r="B48" s="3" t="s">
        <v>9</v>
      </c>
      <c r="C48" s="3" t="s">
        <v>70</v>
      </c>
      <c r="D48" s="3" t="s">
        <v>158</v>
      </c>
      <c r="E48" s="3" t="s">
        <v>159</v>
      </c>
      <c r="F48" s="3" t="s">
        <v>73</v>
      </c>
      <c r="G48" s="3" t="s">
        <v>150</v>
      </c>
      <c r="H48" s="3" t="s">
        <v>27</v>
      </c>
      <c r="I48" s="3" t="s">
        <v>160</v>
      </c>
    </row>
    <row r="49" customFormat="false" ht="21.75" hidden="false" customHeight="true" outlineLevel="0" collapsed="false">
      <c r="A49" s="3" t="n">
        <v>63</v>
      </c>
      <c r="B49" s="3" t="s">
        <v>9</v>
      </c>
      <c r="C49" s="3" t="s">
        <v>87</v>
      </c>
      <c r="D49" s="3" t="s">
        <v>161</v>
      </c>
      <c r="E49" s="3" t="s">
        <v>162</v>
      </c>
      <c r="F49" s="3" t="s">
        <v>73</v>
      </c>
      <c r="G49" s="3" t="s">
        <v>150</v>
      </c>
      <c r="H49" s="3" t="s">
        <v>27</v>
      </c>
      <c r="I49" s="3" t="s">
        <v>163</v>
      </c>
    </row>
    <row r="50" customFormat="false" ht="21.75" hidden="false" customHeight="true" outlineLevel="0" collapsed="false">
      <c r="A50" s="3" t="n">
        <v>72</v>
      </c>
      <c r="B50" s="3" t="s">
        <v>9</v>
      </c>
      <c r="C50" s="3" t="s">
        <v>100</v>
      </c>
      <c r="D50" s="3" t="s">
        <v>164</v>
      </c>
      <c r="E50" s="3" t="s">
        <v>165</v>
      </c>
      <c r="F50" s="3" t="s">
        <v>73</v>
      </c>
      <c r="G50" s="3" t="s">
        <v>150</v>
      </c>
      <c r="H50" s="3" t="s">
        <v>27</v>
      </c>
      <c r="I50" s="3" t="s">
        <v>166</v>
      </c>
    </row>
    <row r="51" customFormat="false" ht="21.75" hidden="false" customHeight="true" outlineLevel="0" collapsed="false">
      <c r="A51" s="3" t="n">
        <v>10</v>
      </c>
      <c r="B51" s="3" t="s">
        <v>9</v>
      </c>
      <c r="C51" s="3" t="s">
        <v>10</v>
      </c>
      <c r="D51" s="3" t="s">
        <v>167</v>
      </c>
      <c r="E51" s="3" t="s">
        <v>168</v>
      </c>
      <c r="F51" s="3" t="s">
        <v>13</v>
      </c>
      <c r="G51" s="3" t="s">
        <v>169</v>
      </c>
      <c r="H51" s="3" t="s">
        <v>27</v>
      </c>
      <c r="I51" s="3" t="s">
        <v>170</v>
      </c>
    </row>
    <row r="52" customFormat="false" ht="21.75" hidden="false" customHeight="true" outlineLevel="0" collapsed="false">
      <c r="A52" s="3" t="n">
        <v>11</v>
      </c>
      <c r="B52" s="3" t="s">
        <v>9</v>
      </c>
      <c r="C52" s="3" t="s">
        <v>10</v>
      </c>
      <c r="D52" s="3" t="s">
        <v>171</v>
      </c>
      <c r="E52" s="3" t="s">
        <v>172</v>
      </c>
      <c r="F52" s="3" t="s">
        <v>13</v>
      </c>
      <c r="G52" s="3" t="s">
        <v>169</v>
      </c>
      <c r="H52" s="3" t="s">
        <v>27</v>
      </c>
      <c r="I52" s="3" t="s">
        <v>173</v>
      </c>
    </row>
    <row r="53" customFormat="false" ht="21.75" hidden="false" customHeight="true" outlineLevel="0" collapsed="false">
      <c r="A53" s="3" t="n">
        <v>12</v>
      </c>
      <c r="B53" s="3" t="s">
        <v>9</v>
      </c>
      <c r="C53" s="3" t="s">
        <v>10</v>
      </c>
      <c r="D53" s="3" t="s">
        <v>174</v>
      </c>
      <c r="E53" s="3" t="s">
        <v>175</v>
      </c>
      <c r="F53" s="3" t="s">
        <v>13</v>
      </c>
      <c r="G53" s="3" t="s">
        <v>169</v>
      </c>
      <c r="H53" s="3" t="s">
        <v>27</v>
      </c>
      <c r="I53" s="3" t="s">
        <v>176</v>
      </c>
    </row>
    <row r="54" customFormat="false" ht="21.75" hidden="false" customHeight="true" outlineLevel="0" collapsed="false">
      <c r="A54" s="3" t="n">
        <v>13</v>
      </c>
      <c r="B54" s="3" t="s">
        <v>9</v>
      </c>
      <c r="C54" s="3" t="s">
        <v>10</v>
      </c>
      <c r="D54" s="3" t="s">
        <v>177</v>
      </c>
      <c r="E54" s="3" t="s">
        <v>178</v>
      </c>
      <c r="F54" s="3" t="s">
        <v>13</v>
      </c>
      <c r="G54" s="3" t="s">
        <v>169</v>
      </c>
      <c r="H54" s="3" t="s">
        <v>27</v>
      </c>
      <c r="I54" s="3" t="s">
        <v>179</v>
      </c>
    </row>
    <row r="55" customFormat="false" ht="21.75" hidden="false" customHeight="true" outlineLevel="0" collapsed="false">
      <c r="A55" s="3" t="n">
        <v>21</v>
      </c>
      <c r="B55" s="3" t="s">
        <v>9</v>
      </c>
      <c r="C55" s="3" t="s">
        <v>38</v>
      </c>
      <c r="D55" s="3" t="s">
        <v>180</v>
      </c>
      <c r="E55" s="3" t="s">
        <v>181</v>
      </c>
      <c r="F55" s="3" t="s">
        <v>13</v>
      </c>
      <c r="G55" s="3" t="s">
        <v>169</v>
      </c>
      <c r="H55" s="3" t="s">
        <v>27</v>
      </c>
      <c r="I55" s="3" t="s">
        <v>182</v>
      </c>
    </row>
    <row r="56" customFormat="false" ht="21.75" hidden="false" customHeight="true" outlineLevel="0" collapsed="false">
      <c r="A56" s="3" t="n">
        <v>22</v>
      </c>
      <c r="B56" s="3" t="s">
        <v>9</v>
      </c>
      <c r="C56" s="3" t="s">
        <v>38</v>
      </c>
      <c r="D56" s="3" t="s">
        <v>183</v>
      </c>
      <c r="E56" s="3" t="s">
        <v>184</v>
      </c>
      <c r="F56" s="3" t="s">
        <v>13</v>
      </c>
      <c r="G56" s="3" t="s">
        <v>169</v>
      </c>
      <c r="H56" s="3" t="s">
        <v>27</v>
      </c>
      <c r="I56" s="3" t="s">
        <v>185</v>
      </c>
    </row>
    <row r="57" customFormat="false" ht="21.75" hidden="false" customHeight="true" outlineLevel="0" collapsed="false">
      <c r="A57" s="3" t="n">
        <v>23</v>
      </c>
      <c r="B57" s="3" t="s">
        <v>9</v>
      </c>
      <c r="C57" s="3" t="s">
        <v>38</v>
      </c>
      <c r="D57" s="3" t="s">
        <v>186</v>
      </c>
      <c r="E57" s="3" t="s">
        <v>187</v>
      </c>
      <c r="F57" s="3" t="s">
        <v>13</v>
      </c>
      <c r="G57" s="3" t="s">
        <v>169</v>
      </c>
      <c r="H57" s="3" t="s">
        <v>27</v>
      </c>
      <c r="I57" s="3" t="s">
        <v>188</v>
      </c>
    </row>
    <row r="58" customFormat="false" ht="21.75" hidden="false" customHeight="true" outlineLevel="0" collapsed="false">
      <c r="A58" s="3" t="n">
        <v>24</v>
      </c>
      <c r="B58" s="3" t="s">
        <v>9</v>
      </c>
      <c r="C58" s="3" t="s">
        <v>38</v>
      </c>
      <c r="D58" s="3" t="s">
        <v>189</v>
      </c>
      <c r="E58" s="3" t="s">
        <v>190</v>
      </c>
      <c r="F58" s="3" t="s">
        <v>13</v>
      </c>
      <c r="G58" s="3" t="s">
        <v>169</v>
      </c>
      <c r="H58" s="3" t="s">
        <v>27</v>
      </c>
      <c r="I58" s="3" t="s">
        <v>191</v>
      </c>
    </row>
    <row r="59" customFormat="false" ht="21.75" hidden="false" customHeight="true" outlineLevel="0" collapsed="false">
      <c r="A59" s="3" t="n">
        <v>25</v>
      </c>
      <c r="B59" s="3" t="s">
        <v>9</v>
      </c>
      <c r="C59" s="3" t="s">
        <v>38</v>
      </c>
      <c r="D59" s="3" t="s">
        <v>192</v>
      </c>
      <c r="E59" s="3" t="s">
        <v>193</v>
      </c>
      <c r="F59" s="3" t="s">
        <v>13</v>
      </c>
      <c r="G59" s="3" t="s">
        <v>169</v>
      </c>
      <c r="H59" s="3" t="s">
        <v>27</v>
      </c>
      <c r="I59" s="3" t="s">
        <v>194</v>
      </c>
    </row>
    <row r="60" customFormat="false" ht="21.75" hidden="false" customHeight="true" outlineLevel="0" collapsed="false">
      <c r="A60" s="3" t="n">
        <v>26</v>
      </c>
      <c r="B60" s="3" t="s">
        <v>9</v>
      </c>
      <c r="C60" s="3" t="s">
        <v>38</v>
      </c>
      <c r="D60" s="3" t="s">
        <v>195</v>
      </c>
      <c r="E60" s="3" t="s">
        <v>196</v>
      </c>
      <c r="F60" s="3" t="s">
        <v>13</v>
      </c>
      <c r="G60" s="3" t="s">
        <v>169</v>
      </c>
      <c r="H60" s="3" t="s">
        <v>27</v>
      </c>
      <c r="I60" s="3" t="s">
        <v>197</v>
      </c>
    </row>
    <row r="61" customFormat="false" ht="21.75" hidden="false" customHeight="true" outlineLevel="0" collapsed="false">
      <c r="A61" s="3" t="n">
        <v>27</v>
      </c>
      <c r="B61" s="3" t="s">
        <v>9</v>
      </c>
      <c r="C61" s="3" t="s">
        <v>38</v>
      </c>
      <c r="D61" s="3" t="s">
        <v>198</v>
      </c>
      <c r="E61" s="3" t="s">
        <v>199</v>
      </c>
      <c r="F61" s="3" t="s">
        <v>13</v>
      </c>
      <c r="G61" s="3" t="s">
        <v>169</v>
      </c>
      <c r="H61" s="3" t="s">
        <v>27</v>
      </c>
      <c r="I61" s="3" t="s">
        <v>200</v>
      </c>
    </row>
    <row r="62" customFormat="false" ht="21.75" hidden="false" customHeight="true" outlineLevel="0" collapsed="false">
      <c r="A62" s="3" t="n">
        <v>33</v>
      </c>
      <c r="B62" s="3" t="s">
        <v>9</v>
      </c>
      <c r="C62" s="3" t="s">
        <v>57</v>
      </c>
      <c r="D62" s="3" t="s">
        <v>201</v>
      </c>
      <c r="E62" s="3" t="s">
        <v>202</v>
      </c>
      <c r="F62" s="3" t="s">
        <v>13</v>
      </c>
      <c r="G62" s="3" t="s">
        <v>169</v>
      </c>
      <c r="H62" s="3" t="s">
        <v>27</v>
      </c>
      <c r="I62" s="3" t="s">
        <v>182</v>
      </c>
    </row>
    <row r="63" customFormat="false" ht="21.75" hidden="false" customHeight="true" outlineLevel="0" collapsed="false">
      <c r="A63" s="3" t="n">
        <v>34</v>
      </c>
      <c r="B63" s="3" t="s">
        <v>9</v>
      </c>
      <c r="C63" s="3" t="s">
        <v>57</v>
      </c>
      <c r="D63" s="3" t="s">
        <v>203</v>
      </c>
      <c r="E63" s="3" t="s">
        <v>204</v>
      </c>
      <c r="F63" s="3" t="s">
        <v>13</v>
      </c>
      <c r="G63" s="3" t="s">
        <v>169</v>
      </c>
      <c r="H63" s="3" t="s">
        <v>27</v>
      </c>
      <c r="I63" s="3" t="s">
        <v>205</v>
      </c>
    </row>
    <row r="64" customFormat="false" ht="21.75" hidden="false" customHeight="true" outlineLevel="0" collapsed="false">
      <c r="A64" s="3" t="n">
        <v>35</v>
      </c>
      <c r="B64" s="3" t="s">
        <v>9</v>
      </c>
      <c r="C64" s="3" t="s">
        <v>57</v>
      </c>
      <c r="D64" s="3" t="s">
        <v>206</v>
      </c>
      <c r="E64" s="3" t="s">
        <v>207</v>
      </c>
      <c r="F64" s="3" t="s">
        <v>13</v>
      </c>
      <c r="G64" s="3" t="s">
        <v>169</v>
      </c>
      <c r="H64" s="3" t="s">
        <v>27</v>
      </c>
      <c r="I64" s="3" t="s">
        <v>208</v>
      </c>
    </row>
    <row r="65" customFormat="false" ht="21.75" hidden="false" customHeight="true" outlineLevel="0" collapsed="false">
      <c r="A65" s="3" t="n">
        <v>36</v>
      </c>
      <c r="B65" s="3" t="s">
        <v>9</v>
      </c>
      <c r="C65" s="3" t="s">
        <v>57</v>
      </c>
      <c r="D65" s="3" t="s">
        <v>209</v>
      </c>
      <c r="E65" s="3" t="s">
        <v>210</v>
      </c>
      <c r="F65" s="3" t="s">
        <v>13</v>
      </c>
      <c r="G65" s="3" t="s">
        <v>169</v>
      </c>
      <c r="H65" s="3" t="s">
        <v>27</v>
      </c>
      <c r="I65" s="3" t="s">
        <v>211</v>
      </c>
    </row>
    <row r="66" customFormat="false" ht="21.75" hidden="false" customHeight="true" outlineLevel="0" collapsed="false">
      <c r="A66" s="3" t="n">
        <v>37</v>
      </c>
      <c r="B66" s="3" t="s">
        <v>9</v>
      </c>
      <c r="C66" s="3" t="s">
        <v>57</v>
      </c>
      <c r="D66" s="3" t="s">
        <v>212</v>
      </c>
      <c r="E66" s="3" t="s">
        <v>213</v>
      </c>
      <c r="F66" s="3" t="s">
        <v>13</v>
      </c>
      <c r="G66" s="3" t="s">
        <v>169</v>
      </c>
      <c r="H66" s="3" t="s">
        <v>27</v>
      </c>
      <c r="I66" s="3" t="s">
        <v>214</v>
      </c>
    </row>
    <row r="67" customFormat="false" ht="21.75" hidden="false" customHeight="true" outlineLevel="0" collapsed="false">
      <c r="A67" s="3" t="n">
        <v>44</v>
      </c>
      <c r="B67" s="3" t="s">
        <v>9</v>
      </c>
      <c r="C67" s="3" t="s">
        <v>70</v>
      </c>
      <c r="D67" s="3" t="s">
        <v>215</v>
      </c>
      <c r="E67" s="3" t="s">
        <v>216</v>
      </c>
      <c r="F67" s="3" t="s">
        <v>73</v>
      </c>
      <c r="G67" s="3" t="s">
        <v>169</v>
      </c>
      <c r="H67" s="3" t="s">
        <v>27</v>
      </c>
      <c r="I67" s="3" t="s">
        <v>217</v>
      </c>
    </row>
    <row r="68" customFormat="false" ht="21.75" hidden="false" customHeight="true" outlineLevel="0" collapsed="false">
      <c r="A68" s="3" t="n">
        <v>45</v>
      </c>
      <c r="B68" s="3" t="s">
        <v>9</v>
      </c>
      <c r="C68" s="3" t="s">
        <v>70</v>
      </c>
      <c r="D68" s="3" t="s">
        <v>218</v>
      </c>
      <c r="E68" s="3" t="s">
        <v>219</v>
      </c>
      <c r="F68" s="3" t="s">
        <v>73</v>
      </c>
      <c r="G68" s="3" t="s">
        <v>169</v>
      </c>
      <c r="H68" s="3" t="s">
        <v>27</v>
      </c>
      <c r="I68" s="3" t="s">
        <v>220</v>
      </c>
    </row>
    <row r="69" customFormat="false" ht="21.75" hidden="false" customHeight="true" outlineLevel="0" collapsed="false">
      <c r="A69" s="3" t="n">
        <v>46</v>
      </c>
      <c r="B69" s="3" t="s">
        <v>9</v>
      </c>
      <c r="C69" s="3" t="s">
        <v>70</v>
      </c>
      <c r="D69" s="3" t="s">
        <v>221</v>
      </c>
      <c r="E69" s="3" t="s">
        <v>222</v>
      </c>
      <c r="F69" s="3" t="s">
        <v>73</v>
      </c>
      <c r="G69" s="3" t="s">
        <v>169</v>
      </c>
      <c r="H69" s="3" t="s">
        <v>27</v>
      </c>
      <c r="I69" s="3" t="s">
        <v>223</v>
      </c>
    </row>
    <row r="70" customFormat="false" ht="21.75" hidden="false" customHeight="true" outlineLevel="0" collapsed="false">
      <c r="A70" s="3" t="n">
        <v>47</v>
      </c>
      <c r="B70" s="3" t="s">
        <v>9</v>
      </c>
      <c r="C70" s="3" t="s">
        <v>70</v>
      </c>
      <c r="D70" s="3" t="s">
        <v>224</v>
      </c>
      <c r="E70" s="3" t="s">
        <v>225</v>
      </c>
      <c r="F70" s="3" t="s">
        <v>73</v>
      </c>
      <c r="G70" s="3" t="s">
        <v>169</v>
      </c>
      <c r="H70" s="3" t="s">
        <v>27</v>
      </c>
      <c r="I70" s="3" t="s">
        <v>226</v>
      </c>
    </row>
    <row r="71" customFormat="false" ht="21.75" hidden="false" customHeight="true" outlineLevel="0" collapsed="false">
      <c r="A71" s="3" t="n">
        <v>48</v>
      </c>
      <c r="B71" s="3" t="s">
        <v>9</v>
      </c>
      <c r="C71" s="3" t="s">
        <v>70</v>
      </c>
      <c r="D71" s="3" t="s">
        <v>227</v>
      </c>
      <c r="E71" s="3" t="s">
        <v>228</v>
      </c>
      <c r="F71" s="3" t="s">
        <v>73</v>
      </c>
      <c r="G71" s="3" t="s">
        <v>169</v>
      </c>
      <c r="H71" s="3" t="s">
        <v>27</v>
      </c>
      <c r="I71" s="3" t="s">
        <v>229</v>
      </c>
    </row>
    <row r="72" customFormat="false" ht="21.75" hidden="false" customHeight="true" outlineLevel="0" collapsed="false">
      <c r="A72" s="3" t="n">
        <v>49</v>
      </c>
      <c r="B72" s="3" t="s">
        <v>9</v>
      </c>
      <c r="C72" s="3" t="s">
        <v>70</v>
      </c>
      <c r="D72" s="3" t="s">
        <v>230</v>
      </c>
      <c r="E72" s="3" t="s">
        <v>231</v>
      </c>
      <c r="F72" s="3" t="s">
        <v>73</v>
      </c>
      <c r="G72" s="3" t="s">
        <v>169</v>
      </c>
      <c r="H72" s="3" t="s">
        <v>27</v>
      </c>
      <c r="I72" s="3" t="s">
        <v>232</v>
      </c>
    </row>
    <row r="73" customFormat="false" ht="21.75" hidden="false" customHeight="true" outlineLevel="0" collapsed="false">
      <c r="A73" s="3" t="n">
        <v>50</v>
      </c>
      <c r="B73" s="3" t="s">
        <v>9</v>
      </c>
      <c r="C73" s="3" t="s">
        <v>70</v>
      </c>
      <c r="D73" s="3" t="s">
        <v>233</v>
      </c>
      <c r="E73" s="3" t="s">
        <v>234</v>
      </c>
      <c r="F73" s="3" t="s">
        <v>73</v>
      </c>
      <c r="G73" s="3" t="s">
        <v>169</v>
      </c>
      <c r="H73" s="3" t="s">
        <v>27</v>
      </c>
      <c r="I73" s="3" t="s">
        <v>235</v>
      </c>
    </row>
    <row r="74" customFormat="false" ht="21.75" hidden="false" customHeight="true" outlineLevel="0" collapsed="false">
      <c r="A74" s="3" t="n">
        <v>56</v>
      </c>
      <c r="B74" s="3" t="s">
        <v>9</v>
      </c>
      <c r="C74" s="3" t="s">
        <v>87</v>
      </c>
      <c r="D74" s="3" t="s">
        <v>236</v>
      </c>
      <c r="E74" s="3" t="s">
        <v>237</v>
      </c>
      <c r="F74" s="3" t="s">
        <v>73</v>
      </c>
      <c r="G74" s="3" t="s">
        <v>169</v>
      </c>
      <c r="H74" s="3" t="s">
        <v>27</v>
      </c>
      <c r="I74" s="3" t="s">
        <v>238</v>
      </c>
    </row>
    <row r="75" customFormat="false" ht="21.75" hidden="false" customHeight="true" outlineLevel="0" collapsed="false">
      <c r="A75" s="3" t="n">
        <v>57</v>
      </c>
      <c r="B75" s="3" t="s">
        <v>9</v>
      </c>
      <c r="C75" s="3" t="s">
        <v>87</v>
      </c>
      <c r="D75" s="3" t="s">
        <v>239</v>
      </c>
      <c r="E75" s="3" t="s">
        <v>240</v>
      </c>
      <c r="F75" s="3" t="s">
        <v>73</v>
      </c>
      <c r="G75" s="3" t="s">
        <v>169</v>
      </c>
      <c r="H75" s="3" t="s">
        <v>27</v>
      </c>
      <c r="I75" s="3" t="s">
        <v>241</v>
      </c>
    </row>
    <row r="76" customFormat="false" ht="21.75" hidden="false" customHeight="true" outlineLevel="0" collapsed="false">
      <c r="A76" s="3" t="n">
        <v>58</v>
      </c>
      <c r="B76" s="3" t="s">
        <v>9</v>
      </c>
      <c r="C76" s="3" t="s">
        <v>87</v>
      </c>
      <c r="D76" s="3" t="s">
        <v>242</v>
      </c>
      <c r="E76" s="3" t="s">
        <v>243</v>
      </c>
      <c r="F76" s="3" t="s">
        <v>73</v>
      </c>
      <c r="G76" s="3" t="s">
        <v>169</v>
      </c>
      <c r="H76" s="3" t="s">
        <v>27</v>
      </c>
      <c r="I76" s="3" t="s">
        <v>244</v>
      </c>
    </row>
    <row r="77" customFormat="false" ht="21.75" hidden="false" customHeight="true" outlineLevel="0" collapsed="false">
      <c r="A77" s="3" t="n">
        <v>59</v>
      </c>
      <c r="B77" s="3" t="s">
        <v>9</v>
      </c>
      <c r="C77" s="3" t="s">
        <v>87</v>
      </c>
      <c r="D77" s="3" t="s">
        <v>245</v>
      </c>
      <c r="E77" s="3" t="s">
        <v>246</v>
      </c>
      <c r="F77" s="3" t="s">
        <v>73</v>
      </c>
      <c r="G77" s="3" t="s">
        <v>169</v>
      </c>
      <c r="H77" s="3" t="s">
        <v>27</v>
      </c>
      <c r="I77" s="3" t="s">
        <v>247</v>
      </c>
    </row>
    <row r="78" customFormat="false" ht="21.75" hidden="false" customHeight="true" outlineLevel="0" collapsed="false">
      <c r="A78" s="3" t="n">
        <v>60</v>
      </c>
      <c r="B78" s="3" t="s">
        <v>9</v>
      </c>
      <c r="C78" s="3" t="s">
        <v>87</v>
      </c>
      <c r="D78" s="3" t="s">
        <v>248</v>
      </c>
      <c r="E78" s="3" t="s">
        <v>249</v>
      </c>
      <c r="F78" s="3" t="s">
        <v>73</v>
      </c>
      <c r="G78" s="3" t="s">
        <v>169</v>
      </c>
      <c r="H78" s="3" t="s">
        <v>27</v>
      </c>
      <c r="I78" s="3" t="s">
        <v>250</v>
      </c>
    </row>
    <row r="79" customFormat="false" ht="21.75" hidden="false" customHeight="true" outlineLevel="0" collapsed="false">
      <c r="A79" s="3" t="n">
        <v>61</v>
      </c>
      <c r="B79" s="3" t="s">
        <v>9</v>
      </c>
      <c r="C79" s="3" t="s">
        <v>87</v>
      </c>
      <c r="D79" s="3" t="s">
        <v>251</v>
      </c>
      <c r="E79" s="3" t="s">
        <v>252</v>
      </c>
      <c r="F79" s="3" t="s">
        <v>73</v>
      </c>
      <c r="G79" s="3" t="s">
        <v>169</v>
      </c>
      <c r="H79" s="3" t="s">
        <v>27</v>
      </c>
      <c r="I79" s="3" t="s">
        <v>253</v>
      </c>
    </row>
    <row r="80" customFormat="false" ht="21.75" hidden="false" customHeight="true" outlineLevel="0" collapsed="false">
      <c r="A80" s="3" t="n">
        <v>62</v>
      </c>
      <c r="B80" s="3" t="s">
        <v>9</v>
      </c>
      <c r="C80" s="3" t="s">
        <v>87</v>
      </c>
      <c r="D80" s="3" t="s">
        <v>254</v>
      </c>
      <c r="E80" s="3" t="s">
        <v>255</v>
      </c>
      <c r="F80" s="3" t="s">
        <v>73</v>
      </c>
      <c r="G80" s="3" t="s">
        <v>169</v>
      </c>
      <c r="H80" s="3" t="s">
        <v>27</v>
      </c>
      <c r="I80" s="3" t="s">
        <v>256</v>
      </c>
    </row>
    <row r="81" customFormat="false" ht="21.75" hidden="false" customHeight="true" outlineLevel="0" collapsed="false">
      <c r="A81" s="3" t="n">
        <v>68</v>
      </c>
      <c r="B81" s="3" t="s">
        <v>9</v>
      </c>
      <c r="C81" s="3" t="s">
        <v>100</v>
      </c>
      <c r="D81" s="3" t="s">
        <v>257</v>
      </c>
      <c r="E81" s="3" t="s">
        <v>258</v>
      </c>
      <c r="F81" s="3" t="s">
        <v>73</v>
      </c>
      <c r="G81" s="3" t="s">
        <v>169</v>
      </c>
      <c r="H81" s="3" t="s">
        <v>27</v>
      </c>
      <c r="I81" s="3" t="s">
        <v>226</v>
      </c>
    </row>
    <row r="82" customFormat="false" ht="21.75" hidden="false" customHeight="true" outlineLevel="0" collapsed="false">
      <c r="A82" s="3" t="n">
        <v>69</v>
      </c>
      <c r="B82" s="3" t="s">
        <v>9</v>
      </c>
      <c r="C82" s="3" t="s">
        <v>100</v>
      </c>
      <c r="D82" s="3" t="s">
        <v>259</v>
      </c>
      <c r="E82" s="3" t="s">
        <v>260</v>
      </c>
      <c r="F82" s="3" t="s">
        <v>73</v>
      </c>
      <c r="G82" s="3" t="s">
        <v>169</v>
      </c>
      <c r="H82" s="3" t="s">
        <v>27</v>
      </c>
      <c r="I82" s="3" t="s">
        <v>261</v>
      </c>
    </row>
    <row r="83" customFormat="false" ht="21.75" hidden="false" customHeight="true" outlineLevel="0" collapsed="false">
      <c r="A83" s="3" t="n">
        <v>70</v>
      </c>
      <c r="B83" s="3" t="s">
        <v>9</v>
      </c>
      <c r="C83" s="3" t="s">
        <v>100</v>
      </c>
      <c r="D83" s="3" t="s">
        <v>262</v>
      </c>
      <c r="E83" s="3" t="s">
        <v>263</v>
      </c>
      <c r="F83" s="3" t="s">
        <v>73</v>
      </c>
      <c r="G83" s="3" t="s">
        <v>169</v>
      </c>
      <c r="H83" s="3" t="s">
        <v>27</v>
      </c>
      <c r="I83" s="3" t="s">
        <v>264</v>
      </c>
    </row>
    <row r="84" customFormat="false" ht="21.75" hidden="false" customHeight="true" outlineLevel="0" collapsed="false">
      <c r="A84" s="3" t="n">
        <v>71</v>
      </c>
      <c r="B84" s="3" t="s">
        <v>9</v>
      </c>
      <c r="C84" s="3" t="s">
        <v>100</v>
      </c>
      <c r="D84" s="3" t="s">
        <v>265</v>
      </c>
      <c r="E84" s="3" t="s">
        <v>266</v>
      </c>
      <c r="F84" s="3" t="s">
        <v>73</v>
      </c>
      <c r="G84" s="3" t="s">
        <v>169</v>
      </c>
      <c r="H84" s="3" t="s">
        <v>27</v>
      </c>
      <c r="I84" s="3" t="s">
        <v>267</v>
      </c>
    </row>
    <row r="85" customFormat="false" ht="21.75" hidden="false" customHeight="true" outlineLevel="0" collapsed="false">
      <c r="A85" s="3" t="n">
        <v>76</v>
      </c>
      <c r="B85" s="3" t="s">
        <v>9</v>
      </c>
      <c r="C85" s="3" t="s">
        <v>113</v>
      </c>
      <c r="D85" s="3" t="s">
        <v>268</v>
      </c>
      <c r="E85" s="3" t="s">
        <v>269</v>
      </c>
      <c r="F85" s="3" t="s">
        <v>73</v>
      </c>
      <c r="G85" s="3" t="s">
        <v>169</v>
      </c>
      <c r="H85" s="3" t="s">
        <v>27</v>
      </c>
      <c r="I85" s="3" t="s">
        <v>270</v>
      </c>
    </row>
    <row r="86" customFormat="false" ht="21.75" hidden="false" customHeight="true" outlineLevel="0" collapsed="false">
      <c r="A86" s="3" t="n">
        <v>77</v>
      </c>
      <c r="B86" s="3" t="s">
        <v>9</v>
      </c>
      <c r="C86" s="3" t="s">
        <v>113</v>
      </c>
      <c r="D86" s="3" t="s">
        <v>271</v>
      </c>
      <c r="E86" s="3" t="s">
        <v>272</v>
      </c>
      <c r="F86" s="3" t="s">
        <v>73</v>
      </c>
      <c r="G86" s="3" t="s">
        <v>169</v>
      </c>
      <c r="H86" s="3" t="s">
        <v>27</v>
      </c>
      <c r="I86" s="3" t="s">
        <v>273</v>
      </c>
    </row>
    <row r="87" customFormat="false" ht="21.75" hidden="false" customHeight="true" outlineLevel="0" collapsed="false">
      <c r="A87" s="3" t="n">
        <v>78</v>
      </c>
      <c r="B87" s="3" t="s">
        <v>9</v>
      </c>
      <c r="C87" s="3" t="s">
        <v>113</v>
      </c>
      <c r="D87" s="3" t="s">
        <v>274</v>
      </c>
      <c r="E87" s="3" t="s">
        <v>275</v>
      </c>
      <c r="F87" s="3" t="s">
        <v>73</v>
      </c>
      <c r="G87" s="3" t="s">
        <v>169</v>
      </c>
      <c r="H87" s="3" t="s">
        <v>27</v>
      </c>
      <c r="I87" s="3" t="s">
        <v>276</v>
      </c>
    </row>
    <row r="88" customFormat="false" ht="21.75" hidden="false" customHeight="true" outlineLevel="0" collapsed="false">
      <c r="A88" s="3" t="n">
        <v>83</v>
      </c>
      <c r="B88" s="3" t="s">
        <v>9</v>
      </c>
      <c r="C88" s="3" t="s">
        <v>121</v>
      </c>
      <c r="D88" s="3" t="s">
        <v>277</v>
      </c>
      <c r="E88" s="3" t="s">
        <v>278</v>
      </c>
      <c r="F88" s="3" t="s">
        <v>73</v>
      </c>
      <c r="G88" s="3" t="s">
        <v>169</v>
      </c>
      <c r="H88" s="3" t="s">
        <v>27</v>
      </c>
      <c r="I88" s="3" t="s">
        <v>279</v>
      </c>
    </row>
    <row r="89" customFormat="false" ht="21.75" hidden="false" customHeight="true" outlineLevel="0" collapsed="false">
      <c r="A89" s="3" t="n">
        <v>84</v>
      </c>
      <c r="B89" s="3" t="s">
        <v>9</v>
      </c>
      <c r="C89" s="3" t="s">
        <v>121</v>
      </c>
      <c r="D89" s="3" t="s">
        <v>280</v>
      </c>
      <c r="E89" s="3" t="s">
        <v>281</v>
      </c>
      <c r="F89" s="3" t="s">
        <v>73</v>
      </c>
      <c r="G89" s="3" t="s">
        <v>169</v>
      </c>
      <c r="H89" s="3" t="s">
        <v>27</v>
      </c>
      <c r="I89" s="3" t="s">
        <v>282</v>
      </c>
    </row>
    <row r="90" customFormat="false" ht="21.75" hidden="false" customHeight="true" outlineLevel="0" collapsed="false">
      <c r="A90" s="3" t="n">
        <v>85</v>
      </c>
      <c r="B90" s="3" t="s">
        <v>9</v>
      </c>
      <c r="C90" s="3" t="s">
        <v>121</v>
      </c>
      <c r="D90" s="3" t="s">
        <v>283</v>
      </c>
      <c r="E90" s="3" t="s">
        <v>284</v>
      </c>
      <c r="F90" s="3" t="s">
        <v>73</v>
      </c>
      <c r="G90" s="3" t="s">
        <v>169</v>
      </c>
      <c r="H90" s="3" t="s">
        <v>27</v>
      </c>
      <c r="I90" s="3" t="s">
        <v>285</v>
      </c>
    </row>
    <row r="91" customFormat="false" ht="21.75" hidden="false" customHeight="true" outlineLevel="0" collapsed="false">
      <c r="A91" s="3" t="n">
        <v>89</v>
      </c>
      <c r="B91" s="3" t="s">
        <v>9</v>
      </c>
      <c r="C91" s="3" t="s">
        <v>134</v>
      </c>
      <c r="D91" s="3" t="s">
        <v>286</v>
      </c>
      <c r="E91" s="3" t="s">
        <v>287</v>
      </c>
      <c r="F91" s="3" t="s">
        <v>73</v>
      </c>
      <c r="G91" s="3" t="s">
        <v>169</v>
      </c>
      <c r="H91" s="3" t="s">
        <v>27</v>
      </c>
      <c r="I91" s="3" t="s">
        <v>288</v>
      </c>
    </row>
    <row r="92" customFormat="false" ht="21.75" hidden="false" customHeight="true" outlineLevel="0" collapsed="false">
      <c r="A92" s="3" t="n">
        <v>90</v>
      </c>
      <c r="B92" s="3" t="s">
        <v>9</v>
      </c>
      <c r="C92" s="3" t="s">
        <v>134</v>
      </c>
      <c r="D92" s="3" t="s">
        <v>289</v>
      </c>
      <c r="E92" s="3" t="s">
        <v>290</v>
      </c>
      <c r="F92" s="3" t="s">
        <v>73</v>
      </c>
      <c r="G92" s="3" t="s">
        <v>169</v>
      </c>
      <c r="H92" s="3" t="s">
        <v>27</v>
      </c>
      <c r="I92" s="3" t="s">
        <v>291</v>
      </c>
    </row>
    <row r="93" customFormat="false" ht="21.75" hidden="false" customHeight="true" outlineLevel="0" collapsed="false">
      <c r="A93" s="3" t="n">
        <v>91</v>
      </c>
      <c r="B93" s="3" t="s">
        <v>9</v>
      </c>
      <c r="C93" s="3" t="s">
        <v>134</v>
      </c>
      <c r="D93" s="3" t="s">
        <v>292</v>
      </c>
      <c r="E93" s="3" t="s">
        <v>293</v>
      </c>
      <c r="F93" s="3" t="s">
        <v>73</v>
      </c>
      <c r="G93" s="3" t="s">
        <v>169</v>
      </c>
      <c r="H93" s="3" t="s">
        <v>27</v>
      </c>
      <c r="I93" s="3" t="s">
        <v>294</v>
      </c>
    </row>
    <row r="94" customFormat="false" ht="21.75" hidden="false" customHeight="true" outlineLevel="0" collapsed="false">
      <c r="A94" s="3" t="n">
        <v>93</v>
      </c>
      <c r="B94" s="3" t="s">
        <v>9</v>
      </c>
      <c r="C94" s="3" t="s">
        <v>144</v>
      </c>
      <c r="D94" s="3" t="s">
        <v>295</v>
      </c>
      <c r="E94" s="3" t="s">
        <v>296</v>
      </c>
      <c r="F94" s="3" t="s">
        <v>73</v>
      </c>
      <c r="G94" s="3" t="s">
        <v>169</v>
      </c>
      <c r="H94" s="3" t="s">
        <v>27</v>
      </c>
      <c r="I94" s="3" t="s">
        <v>297</v>
      </c>
    </row>
    <row r="95" customFormat="false" ht="21.75" hidden="false" customHeight="true" outlineLevel="0" collapsed="false">
      <c r="A95" s="3" t="n">
        <v>94</v>
      </c>
      <c r="B95" s="3" t="s">
        <v>9</v>
      </c>
      <c r="C95" s="3" t="s">
        <v>144</v>
      </c>
      <c r="D95" s="3" t="s">
        <v>298</v>
      </c>
      <c r="E95" s="3" t="s">
        <v>299</v>
      </c>
      <c r="F95" s="3" t="s">
        <v>73</v>
      </c>
      <c r="G95" s="3" t="s">
        <v>169</v>
      </c>
      <c r="H95" s="3" t="s">
        <v>27</v>
      </c>
      <c r="I95" s="3" t="s">
        <v>300</v>
      </c>
    </row>
    <row r="96" customFormat="false" ht="21.75" hidden="false" customHeight="true" outlineLevel="0" collapsed="false">
      <c r="A96" s="3" t="n">
        <v>95</v>
      </c>
      <c r="B96" s="3" t="s">
        <v>9</v>
      </c>
      <c r="C96" s="3" t="s">
        <v>144</v>
      </c>
      <c r="D96" s="3" t="s">
        <v>301</v>
      </c>
      <c r="E96" s="3" t="s">
        <v>302</v>
      </c>
      <c r="F96" s="3" t="s">
        <v>73</v>
      </c>
      <c r="G96" s="3" t="s">
        <v>169</v>
      </c>
      <c r="H96" s="3" t="s">
        <v>27</v>
      </c>
      <c r="I96" s="3" t="s">
        <v>303</v>
      </c>
    </row>
    <row r="97" customFormat="false" ht="21.75" hidden="false" customHeight="true" outlineLevel="0" collapsed="false">
      <c r="A97" s="3" t="n">
        <v>96</v>
      </c>
      <c r="B97" s="3" t="s">
        <v>9</v>
      </c>
      <c r="C97" s="3" t="s">
        <v>144</v>
      </c>
      <c r="D97" s="3" t="s">
        <v>304</v>
      </c>
      <c r="E97" s="3" t="s">
        <v>305</v>
      </c>
      <c r="F97" s="3" t="s">
        <v>73</v>
      </c>
      <c r="G97" s="3" t="s">
        <v>169</v>
      </c>
      <c r="H97" s="3" t="s">
        <v>27</v>
      </c>
      <c r="I97" s="3" t="s">
        <v>306</v>
      </c>
    </row>
    <row r="98" customFormat="false" ht="21.75" hidden="false" customHeight="true" outlineLevel="0" collapsed="false">
      <c r="A98" s="3" t="n">
        <v>1</v>
      </c>
      <c r="B98" s="3" t="s">
        <v>307</v>
      </c>
      <c r="C98" s="3" t="s">
        <v>308</v>
      </c>
      <c r="D98" s="3" t="s">
        <v>309</v>
      </c>
      <c r="E98" s="3" t="s">
        <v>310</v>
      </c>
      <c r="F98" s="3" t="s">
        <v>311</v>
      </c>
      <c r="G98" s="3" t="s">
        <v>14</v>
      </c>
      <c r="H98" s="4" t="s">
        <v>15</v>
      </c>
      <c r="I98" s="3"/>
    </row>
    <row r="99" customFormat="false" ht="21.75" hidden="false" customHeight="true" outlineLevel="0" collapsed="false">
      <c r="A99" s="3" t="n">
        <v>2</v>
      </c>
      <c r="B99" s="3" t="s">
        <v>307</v>
      </c>
      <c r="C99" s="3" t="s">
        <v>308</v>
      </c>
      <c r="D99" s="3" t="s">
        <v>312</v>
      </c>
      <c r="E99" s="3" t="s">
        <v>313</v>
      </c>
      <c r="F99" s="3" t="s">
        <v>311</v>
      </c>
      <c r="G99" s="3" t="s">
        <v>14</v>
      </c>
      <c r="H99" s="4" t="s">
        <v>15</v>
      </c>
      <c r="I99" s="3"/>
    </row>
    <row r="100" customFormat="false" ht="21.75" hidden="false" customHeight="true" outlineLevel="0" collapsed="false">
      <c r="A100" s="3" t="n">
        <v>3</v>
      </c>
      <c r="B100" s="3" t="s">
        <v>307</v>
      </c>
      <c r="C100" s="3" t="s">
        <v>308</v>
      </c>
      <c r="D100" s="3" t="s">
        <v>314</v>
      </c>
      <c r="E100" s="3" t="s">
        <v>315</v>
      </c>
      <c r="F100" s="3" t="s">
        <v>311</v>
      </c>
      <c r="G100" s="3" t="s">
        <v>14</v>
      </c>
      <c r="H100" s="4" t="s">
        <v>15</v>
      </c>
      <c r="I100" s="3"/>
    </row>
    <row r="101" customFormat="false" ht="21.75" hidden="false" customHeight="true" outlineLevel="0" collapsed="false">
      <c r="A101" s="3" t="n">
        <v>7</v>
      </c>
      <c r="B101" s="3" t="s">
        <v>307</v>
      </c>
      <c r="C101" s="3" t="s">
        <v>308</v>
      </c>
      <c r="D101" s="3" t="s">
        <v>316</v>
      </c>
      <c r="E101" s="3" t="s">
        <v>317</v>
      </c>
      <c r="F101" s="3" t="s">
        <v>311</v>
      </c>
      <c r="G101" s="3" t="s">
        <v>14</v>
      </c>
      <c r="H101" s="4" t="s">
        <v>15</v>
      </c>
      <c r="I101" s="3" t="s">
        <v>318</v>
      </c>
    </row>
    <row r="102" customFormat="false" ht="21.75" hidden="false" customHeight="true" outlineLevel="0" collapsed="false">
      <c r="A102" s="3" t="n">
        <v>8</v>
      </c>
      <c r="B102" s="3" t="s">
        <v>319</v>
      </c>
      <c r="C102" s="3" t="s">
        <v>320</v>
      </c>
      <c r="D102" s="3" t="s">
        <v>321</v>
      </c>
      <c r="E102" s="3" t="s">
        <v>322</v>
      </c>
      <c r="F102" s="3" t="s">
        <v>311</v>
      </c>
      <c r="G102" s="3" t="s">
        <v>14</v>
      </c>
      <c r="H102" s="4" t="s">
        <v>15</v>
      </c>
      <c r="I102" s="3"/>
    </row>
    <row r="103" customFormat="false" ht="21.75" hidden="false" customHeight="true" outlineLevel="0" collapsed="false">
      <c r="A103" s="3" t="n">
        <v>13</v>
      </c>
      <c r="B103" s="3" t="s">
        <v>319</v>
      </c>
      <c r="C103" s="3" t="s">
        <v>323</v>
      </c>
      <c r="D103" s="3" t="s">
        <v>324</v>
      </c>
      <c r="E103" s="3" t="s">
        <v>325</v>
      </c>
      <c r="F103" s="3" t="s">
        <v>311</v>
      </c>
      <c r="G103" s="3" t="s">
        <v>14</v>
      </c>
      <c r="H103" s="3" t="s">
        <v>27</v>
      </c>
      <c r="I103" s="3"/>
    </row>
    <row r="104" customFormat="false" ht="21.75" hidden="false" customHeight="true" outlineLevel="0" collapsed="false">
      <c r="A104" s="3" t="n">
        <v>20</v>
      </c>
      <c r="B104" s="3" t="s">
        <v>307</v>
      </c>
      <c r="C104" s="3" t="s">
        <v>326</v>
      </c>
      <c r="D104" s="3" t="s">
        <v>327</v>
      </c>
      <c r="E104" s="3" t="s">
        <v>328</v>
      </c>
      <c r="F104" s="3" t="s">
        <v>311</v>
      </c>
      <c r="G104" s="3" t="s">
        <v>14</v>
      </c>
      <c r="H104" s="3" t="s">
        <v>27</v>
      </c>
      <c r="I104" s="3"/>
    </row>
    <row r="105" customFormat="false" ht="21.75" hidden="false" customHeight="true" outlineLevel="0" collapsed="false">
      <c r="A105" s="3" t="n">
        <v>26</v>
      </c>
      <c r="B105" s="3" t="s">
        <v>307</v>
      </c>
      <c r="C105" s="3" t="s">
        <v>329</v>
      </c>
      <c r="D105" s="3" t="s">
        <v>330</v>
      </c>
      <c r="E105" s="3" t="s">
        <v>331</v>
      </c>
      <c r="F105" s="3" t="s">
        <v>311</v>
      </c>
      <c r="G105" s="3" t="s">
        <v>14</v>
      </c>
      <c r="H105" s="3" t="s">
        <v>27</v>
      </c>
      <c r="I105" s="3" t="s">
        <v>332</v>
      </c>
    </row>
    <row r="106" customFormat="false" ht="21.75" hidden="false" customHeight="true" outlineLevel="0" collapsed="false">
      <c r="A106" s="3" t="n">
        <v>27</v>
      </c>
      <c r="B106" s="3" t="s">
        <v>307</v>
      </c>
      <c r="C106" s="3" t="s">
        <v>329</v>
      </c>
      <c r="D106" s="3" t="s">
        <v>333</v>
      </c>
      <c r="E106" s="3" t="s">
        <v>334</v>
      </c>
      <c r="F106" s="3" t="s">
        <v>311</v>
      </c>
      <c r="G106" s="3" t="s">
        <v>14</v>
      </c>
      <c r="H106" s="3" t="s">
        <v>27</v>
      </c>
      <c r="I106" s="3" t="s">
        <v>318</v>
      </c>
    </row>
    <row r="107" customFormat="false" ht="21.75" hidden="false" customHeight="true" outlineLevel="0" collapsed="false">
      <c r="A107" s="3" t="n">
        <v>28</v>
      </c>
      <c r="B107" s="3" t="s">
        <v>307</v>
      </c>
      <c r="C107" s="3" t="s">
        <v>329</v>
      </c>
      <c r="D107" s="3" t="s">
        <v>335</v>
      </c>
      <c r="E107" s="3" t="s">
        <v>336</v>
      </c>
      <c r="F107" s="3" t="s">
        <v>311</v>
      </c>
      <c r="G107" s="3" t="s">
        <v>14</v>
      </c>
      <c r="H107" s="3" t="s">
        <v>27</v>
      </c>
      <c r="I107" s="3"/>
    </row>
    <row r="108" customFormat="false" ht="21.75" hidden="false" customHeight="true" outlineLevel="0" collapsed="false">
      <c r="A108" s="3" t="n">
        <v>30</v>
      </c>
      <c r="B108" s="3" t="s">
        <v>307</v>
      </c>
      <c r="C108" s="3" t="s">
        <v>329</v>
      </c>
      <c r="D108" s="3" t="s">
        <v>337</v>
      </c>
      <c r="E108" s="3" t="s">
        <v>338</v>
      </c>
      <c r="F108" s="3" t="s">
        <v>311</v>
      </c>
      <c r="G108" s="3" t="s">
        <v>14</v>
      </c>
      <c r="H108" s="3" t="s">
        <v>27</v>
      </c>
      <c r="I108" s="3"/>
    </row>
    <row r="109" customFormat="false" ht="21.75" hidden="false" customHeight="true" outlineLevel="0" collapsed="false">
      <c r="A109" s="3" t="n">
        <v>37</v>
      </c>
      <c r="B109" s="3" t="s">
        <v>319</v>
      </c>
      <c r="C109" s="3" t="s">
        <v>339</v>
      </c>
      <c r="D109" s="3" t="s">
        <v>340</v>
      </c>
      <c r="E109" s="3" t="s">
        <v>341</v>
      </c>
      <c r="F109" s="3" t="s">
        <v>311</v>
      </c>
      <c r="G109" s="3" t="s">
        <v>14</v>
      </c>
      <c r="H109" s="3" t="s">
        <v>27</v>
      </c>
      <c r="I109" s="3" t="s">
        <v>342</v>
      </c>
    </row>
    <row r="110" customFormat="false" ht="21.75" hidden="false" customHeight="true" outlineLevel="0" collapsed="false">
      <c r="A110" s="3" t="n">
        <v>6</v>
      </c>
      <c r="B110" s="3" t="s">
        <v>307</v>
      </c>
      <c r="C110" s="3" t="s">
        <v>308</v>
      </c>
      <c r="D110" s="3" t="s">
        <v>343</v>
      </c>
      <c r="E110" s="3" t="s">
        <v>344</v>
      </c>
      <c r="F110" s="3" t="s">
        <v>311</v>
      </c>
      <c r="G110" s="3" t="s">
        <v>150</v>
      </c>
      <c r="H110" s="3" t="s">
        <v>27</v>
      </c>
      <c r="I110" s="3"/>
    </row>
    <row r="111" customFormat="false" ht="21.75" hidden="false" customHeight="true" outlineLevel="0" collapsed="false">
      <c r="A111" s="3" t="n">
        <v>12</v>
      </c>
      <c r="B111" s="3" t="s">
        <v>307</v>
      </c>
      <c r="C111" s="3" t="s">
        <v>320</v>
      </c>
      <c r="D111" s="3" t="s">
        <v>345</v>
      </c>
      <c r="E111" s="3" t="s">
        <v>346</v>
      </c>
      <c r="F111" s="3" t="s">
        <v>311</v>
      </c>
      <c r="G111" s="3" t="s">
        <v>150</v>
      </c>
      <c r="H111" s="3" t="s">
        <v>27</v>
      </c>
      <c r="I111" s="3"/>
    </row>
    <row r="112" customFormat="false" ht="21.75" hidden="false" customHeight="true" outlineLevel="0" collapsed="false">
      <c r="A112" s="3" t="n">
        <v>25</v>
      </c>
      <c r="B112" s="3" t="s">
        <v>319</v>
      </c>
      <c r="C112" s="3" t="s">
        <v>326</v>
      </c>
      <c r="D112" s="3" t="s">
        <v>347</v>
      </c>
      <c r="E112" s="3" t="s">
        <v>348</v>
      </c>
      <c r="F112" s="3" t="s">
        <v>311</v>
      </c>
      <c r="G112" s="3" t="s">
        <v>150</v>
      </c>
      <c r="H112" s="3" t="s">
        <v>27</v>
      </c>
      <c r="I112" s="3"/>
    </row>
    <row r="113" customFormat="false" ht="21.75" hidden="false" customHeight="true" outlineLevel="0" collapsed="false">
      <c r="A113" s="3" t="n">
        <v>4</v>
      </c>
      <c r="B113" s="3" t="s">
        <v>307</v>
      </c>
      <c r="C113" s="3" t="s">
        <v>308</v>
      </c>
      <c r="D113" s="3" t="s">
        <v>349</v>
      </c>
      <c r="E113" s="3" t="s">
        <v>350</v>
      </c>
      <c r="F113" s="3" t="s">
        <v>311</v>
      </c>
      <c r="G113" s="3" t="s">
        <v>169</v>
      </c>
      <c r="H113" s="3" t="s">
        <v>27</v>
      </c>
      <c r="I113" s="3"/>
    </row>
    <row r="114" customFormat="false" ht="21.75" hidden="false" customHeight="true" outlineLevel="0" collapsed="false">
      <c r="A114" s="3" t="n">
        <v>5</v>
      </c>
      <c r="B114" s="3" t="s">
        <v>307</v>
      </c>
      <c r="C114" s="3" t="s">
        <v>308</v>
      </c>
      <c r="D114" s="3" t="s">
        <v>351</v>
      </c>
      <c r="E114" s="3" t="s">
        <v>352</v>
      </c>
      <c r="F114" s="3" t="s">
        <v>311</v>
      </c>
      <c r="G114" s="3" t="s">
        <v>169</v>
      </c>
      <c r="H114" s="3" t="s">
        <v>27</v>
      </c>
      <c r="I114" s="3"/>
    </row>
    <row r="115" customFormat="false" ht="21.75" hidden="false" customHeight="true" outlineLevel="0" collapsed="false">
      <c r="A115" s="3" t="n">
        <v>9</v>
      </c>
      <c r="B115" s="3" t="s">
        <v>307</v>
      </c>
      <c r="C115" s="3" t="s">
        <v>320</v>
      </c>
      <c r="D115" s="3" t="s">
        <v>353</v>
      </c>
      <c r="E115" s="3" t="s">
        <v>354</v>
      </c>
      <c r="F115" s="3" t="s">
        <v>311</v>
      </c>
      <c r="G115" s="3" t="s">
        <v>169</v>
      </c>
      <c r="H115" s="3" t="s">
        <v>27</v>
      </c>
      <c r="I115" s="3"/>
    </row>
    <row r="116" customFormat="false" ht="21.75" hidden="false" customHeight="true" outlineLevel="0" collapsed="false">
      <c r="A116" s="3" t="n">
        <v>10</v>
      </c>
      <c r="B116" s="3" t="s">
        <v>319</v>
      </c>
      <c r="C116" s="3" t="s">
        <v>320</v>
      </c>
      <c r="D116" s="3" t="s">
        <v>355</v>
      </c>
      <c r="E116" s="3" t="s">
        <v>356</v>
      </c>
      <c r="F116" s="3" t="s">
        <v>311</v>
      </c>
      <c r="G116" s="3" t="s">
        <v>169</v>
      </c>
      <c r="H116" s="3" t="s">
        <v>27</v>
      </c>
      <c r="I116" s="3"/>
    </row>
    <row r="117" customFormat="false" ht="21.75" hidden="false" customHeight="true" outlineLevel="0" collapsed="false">
      <c r="A117" s="3" t="n">
        <v>11</v>
      </c>
      <c r="B117" s="3" t="s">
        <v>319</v>
      </c>
      <c r="C117" s="3" t="s">
        <v>320</v>
      </c>
      <c r="D117" s="3" t="s">
        <v>357</v>
      </c>
      <c r="E117" s="3" t="s">
        <v>358</v>
      </c>
      <c r="F117" s="3" t="s">
        <v>311</v>
      </c>
      <c r="G117" s="3" t="s">
        <v>169</v>
      </c>
      <c r="H117" s="3" t="s">
        <v>27</v>
      </c>
      <c r="I117" s="3"/>
    </row>
    <row r="118" customFormat="false" ht="21.75" hidden="false" customHeight="true" outlineLevel="0" collapsed="false">
      <c r="A118" s="3" t="n">
        <v>14</v>
      </c>
      <c r="B118" s="3" t="s">
        <v>319</v>
      </c>
      <c r="C118" s="3" t="s">
        <v>323</v>
      </c>
      <c r="D118" s="3" t="s">
        <v>359</v>
      </c>
      <c r="E118" s="3" t="s">
        <v>360</v>
      </c>
      <c r="F118" s="3" t="s">
        <v>311</v>
      </c>
      <c r="G118" s="3" t="s">
        <v>169</v>
      </c>
      <c r="H118" s="3" t="s">
        <v>27</v>
      </c>
      <c r="I118" s="3"/>
    </row>
    <row r="119" customFormat="false" ht="21.75" hidden="false" customHeight="true" outlineLevel="0" collapsed="false">
      <c r="A119" s="3" t="n">
        <v>15</v>
      </c>
      <c r="B119" s="3" t="s">
        <v>319</v>
      </c>
      <c r="C119" s="3" t="s">
        <v>323</v>
      </c>
      <c r="D119" s="3" t="s">
        <v>361</v>
      </c>
      <c r="E119" s="3" t="s">
        <v>362</v>
      </c>
      <c r="F119" s="3" t="s">
        <v>311</v>
      </c>
      <c r="G119" s="3" t="s">
        <v>169</v>
      </c>
      <c r="H119" s="3" t="s">
        <v>27</v>
      </c>
      <c r="I119" s="3"/>
    </row>
    <row r="120" customFormat="false" ht="21.75" hidden="false" customHeight="true" outlineLevel="0" collapsed="false">
      <c r="A120" s="3" t="n">
        <v>16</v>
      </c>
      <c r="B120" s="3" t="s">
        <v>319</v>
      </c>
      <c r="C120" s="3" t="s">
        <v>323</v>
      </c>
      <c r="D120" s="3" t="s">
        <v>363</v>
      </c>
      <c r="E120" s="3" t="s">
        <v>364</v>
      </c>
      <c r="F120" s="3" t="s">
        <v>311</v>
      </c>
      <c r="G120" s="3" t="s">
        <v>169</v>
      </c>
      <c r="H120" s="3" t="s">
        <v>27</v>
      </c>
      <c r="I120" s="3"/>
    </row>
    <row r="121" customFormat="false" ht="21.75" hidden="false" customHeight="true" outlineLevel="0" collapsed="false">
      <c r="A121" s="3" t="n">
        <v>17</v>
      </c>
      <c r="B121" s="3" t="s">
        <v>319</v>
      </c>
      <c r="C121" s="3" t="s">
        <v>323</v>
      </c>
      <c r="D121" s="3" t="s">
        <v>365</v>
      </c>
      <c r="E121" s="3" t="s">
        <v>366</v>
      </c>
      <c r="F121" s="3" t="s">
        <v>311</v>
      </c>
      <c r="G121" s="3" t="s">
        <v>169</v>
      </c>
      <c r="H121" s="3" t="s">
        <v>27</v>
      </c>
      <c r="I121" s="3" t="s">
        <v>318</v>
      </c>
    </row>
    <row r="122" customFormat="false" ht="21.75" hidden="false" customHeight="true" outlineLevel="0" collapsed="false">
      <c r="A122" s="3" t="n">
        <v>18</v>
      </c>
      <c r="B122" s="3" t="s">
        <v>319</v>
      </c>
      <c r="C122" s="3" t="s">
        <v>323</v>
      </c>
      <c r="D122" s="3" t="s">
        <v>367</v>
      </c>
      <c r="E122" s="3" t="s">
        <v>368</v>
      </c>
      <c r="F122" s="3" t="s">
        <v>311</v>
      </c>
      <c r="G122" s="3" t="s">
        <v>169</v>
      </c>
      <c r="H122" s="3" t="s">
        <v>27</v>
      </c>
      <c r="I122" s="3"/>
    </row>
    <row r="123" customFormat="false" ht="21.75" hidden="false" customHeight="true" outlineLevel="0" collapsed="false">
      <c r="A123" s="3" t="n">
        <v>19</v>
      </c>
      <c r="B123" s="3" t="s">
        <v>319</v>
      </c>
      <c r="C123" s="3" t="s">
        <v>323</v>
      </c>
      <c r="D123" s="3" t="s">
        <v>369</v>
      </c>
      <c r="E123" s="3" t="s">
        <v>370</v>
      </c>
      <c r="F123" s="3" t="s">
        <v>311</v>
      </c>
      <c r="G123" s="3" t="s">
        <v>169</v>
      </c>
      <c r="H123" s="3" t="s">
        <v>27</v>
      </c>
      <c r="I123" s="3"/>
    </row>
    <row r="124" customFormat="false" ht="21.75" hidden="false" customHeight="true" outlineLevel="0" collapsed="false">
      <c r="A124" s="3" t="n">
        <v>21</v>
      </c>
      <c r="B124" s="3" t="s">
        <v>319</v>
      </c>
      <c r="C124" s="3" t="s">
        <v>326</v>
      </c>
      <c r="D124" s="3" t="s">
        <v>371</v>
      </c>
      <c r="E124" s="3" t="s">
        <v>372</v>
      </c>
      <c r="F124" s="3" t="s">
        <v>311</v>
      </c>
      <c r="G124" s="3" t="s">
        <v>169</v>
      </c>
      <c r="H124" s="3" t="s">
        <v>27</v>
      </c>
      <c r="I124" s="3"/>
    </row>
    <row r="125" customFormat="false" ht="21.75" hidden="false" customHeight="true" outlineLevel="0" collapsed="false">
      <c r="A125" s="3" t="n">
        <v>22</v>
      </c>
      <c r="B125" s="3" t="s">
        <v>319</v>
      </c>
      <c r="C125" s="3" t="s">
        <v>326</v>
      </c>
      <c r="D125" s="3" t="s">
        <v>373</v>
      </c>
      <c r="E125" s="3" t="s">
        <v>374</v>
      </c>
      <c r="F125" s="3" t="s">
        <v>311</v>
      </c>
      <c r="G125" s="3" t="s">
        <v>169</v>
      </c>
      <c r="H125" s="3" t="s">
        <v>27</v>
      </c>
      <c r="I125" s="3"/>
    </row>
    <row r="126" customFormat="false" ht="21.75" hidden="false" customHeight="true" outlineLevel="0" collapsed="false">
      <c r="A126" s="3" t="n">
        <v>23</v>
      </c>
      <c r="B126" s="3" t="s">
        <v>307</v>
      </c>
      <c r="C126" s="3" t="s">
        <v>326</v>
      </c>
      <c r="D126" s="3" t="s">
        <v>375</v>
      </c>
      <c r="E126" s="3" t="s">
        <v>376</v>
      </c>
      <c r="F126" s="3" t="s">
        <v>311</v>
      </c>
      <c r="G126" s="3" t="s">
        <v>169</v>
      </c>
      <c r="H126" s="3" t="s">
        <v>27</v>
      </c>
      <c r="I126" s="3"/>
    </row>
    <row r="127" customFormat="false" ht="21.75" hidden="false" customHeight="true" outlineLevel="0" collapsed="false">
      <c r="A127" s="3" t="n">
        <v>24</v>
      </c>
      <c r="B127" s="3" t="s">
        <v>307</v>
      </c>
      <c r="C127" s="3" t="s">
        <v>326</v>
      </c>
      <c r="D127" s="3" t="s">
        <v>377</v>
      </c>
      <c r="E127" s="3" t="s">
        <v>378</v>
      </c>
      <c r="F127" s="3" t="s">
        <v>311</v>
      </c>
      <c r="G127" s="3" t="s">
        <v>169</v>
      </c>
      <c r="H127" s="3" t="s">
        <v>27</v>
      </c>
      <c r="I127" s="3"/>
    </row>
    <row r="128" customFormat="false" ht="21.75" hidden="false" customHeight="true" outlineLevel="0" collapsed="false">
      <c r="A128" s="3" t="n">
        <v>29</v>
      </c>
      <c r="B128" s="3" t="s">
        <v>307</v>
      </c>
      <c r="C128" s="3" t="s">
        <v>329</v>
      </c>
      <c r="D128" s="3" t="s">
        <v>379</v>
      </c>
      <c r="E128" s="3" t="s">
        <v>380</v>
      </c>
      <c r="F128" s="3" t="s">
        <v>311</v>
      </c>
      <c r="G128" s="3" t="s">
        <v>169</v>
      </c>
      <c r="H128" s="3" t="s">
        <v>27</v>
      </c>
      <c r="I128" s="3"/>
    </row>
    <row r="129" customFormat="false" ht="21.75" hidden="false" customHeight="true" outlineLevel="0" collapsed="false">
      <c r="A129" s="3" t="n">
        <v>31</v>
      </c>
      <c r="B129" s="3" t="s">
        <v>307</v>
      </c>
      <c r="C129" s="3" t="s">
        <v>329</v>
      </c>
      <c r="D129" s="3" t="s">
        <v>381</v>
      </c>
      <c r="E129" s="3" t="s">
        <v>382</v>
      </c>
      <c r="F129" s="3" t="s">
        <v>311</v>
      </c>
      <c r="G129" s="3" t="s">
        <v>169</v>
      </c>
      <c r="H129" s="3" t="s">
        <v>27</v>
      </c>
      <c r="I129" s="3" t="s">
        <v>318</v>
      </c>
    </row>
    <row r="130" customFormat="false" ht="21.75" hidden="false" customHeight="true" outlineLevel="0" collapsed="false">
      <c r="A130" s="3" t="n">
        <v>32</v>
      </c>
      <c r="B130" s="3" t="s">
        <v>307</v>
      </c>
      <c r="C130" s="3" t="s">
        <v>329</v>
      </c>
      <c r="D130" s="3" t="s">
        <v>383</v>
      </c>
      <c r="E130" s="3" t="s">
        <v>384</v>
      </c>
      <c r="F130" s="3" t="s">
        <v>311</v>
      </c>
      <c r="G130" s="3" t="s">
        <v>169</v>
      </c>
      <c r="H130" s="3" t="s">
        <v>27</v>
      </c>
      <c r="I130" s="3" t="s">
        <v>385</v>
      </c>
    </row>
    <row r="131" customFormat="false" ht="21.75" hidden="false" customHeight="true" outlineLevel="0" collapsed="false">
      <c r="A131" s="3" t="n">
        <v>33</v>
      </c>
      <c r="B131" s="3" t="s">
        <v>307</v>
      </c>
      <c r="C131" s="3" t="s">
        <v>329</v>
      </c>
      <c r="D131" s="3" t="s">
        <v>386</v>
      </c>
      <c r="E131" s="3" t="s">
        <v>387</v>
      </c>
      <c r="F131" s="3" t="s">
        <v>311</v>
      </c>
      <c r="G131" s="3" t="s">
        <v>169</v>
      </c>
      <c r="H131" s="3" t="s">
        <v>27</v>
      </c>
      <c r="I131" s="3" t="s">
        <v>318</v>
      </c>
    </row>
    <row r="132" customFormat="false" ht="21.75" hidden="false" customHeight="true" outlineLevel="0" collapsed="false">
      <c r="A132" s="3" t="n">
        <v>34</v>
      </c>
      <c r="B132" s="3" t="s">
        <v>307</v>
      </c>
      <c r="C132" s="3" t="s">
        <v>388</v>
      </c>
      <c r="D132" s="3" t="s">
        <v>389</v>
      </c>
      <c r="E132" s="3" t="s">
        <v>390</v>
      </c>
      <c r="F132" s="3" t="s">
        <v>311</v>
      </c>
      <c r="G132" s="3" t="s">
        <v>169</v>
      </c>
      <c r="H132" s="3" t="s">
        <v>27</v>
      </c>
      <c r="I132" s="3"/>
    </row>
    <row r="133" customFormat="false" ht="21.75" hidden="false" customHeight="true" outlineLevel="0" collapsed="false">
      <c r="A133" s="3" t="n">
        <v>35</v>
      </c>
      <c r="B133" s="3" t="s">
        <v>307</v>
      </c>
      <c r="C133" s="3" t="s">
        <v>388</v>
      </c>
      <c r="D133" s="3" t="s">
        <v>391</v>
      </c>
      <c r="E133" s="3" t="s">
        <v>392</v>
      </c>
      <c r="F133" s="3" t="s">
        <v>311</v>
      </c>
      <c r="G133" s="3" t="s">
        <v>169</v>
      </c>
      <c r="H133" s="3" t="s">
        <v>27</v>
      </c>
      <c r="I133" s="3"/>
    </row>
    <row r="134" customFormat="false" ht="21.75" hidden="false" customHeight="true" outlineLevel="0" collapsed="false">
      <c r="A134" s="3" t="n">
        <v>36</v>
      </c>
      <c r="B134" s="3" t="s">
        <v>319</v>
      </c>
      <c r="C134" s="3" t="s">
        <v>388</v>
      </c>
      <c r="D134" s="3" t="s">
        <v>393</v>
      </c>
      <c r="E134" s="3" t="s">
        <v>394</v>
      </c>
      <c r="F134" s="3" t="s">
        <v>311</v>
      </c>
      <c r="G134" s="3" t="s">
        <v>169</v>
      </c>
      <c r="H134" s="3" t="s">
        <v>27</v>
      </c>
      <c r="I134" s="3"/>
    </row>
    <row r="135" customFormat="false" ht="21.75" hidden="false" customHeight="true" outlineLevel="0" collapsed="false">
      <c r="A135" s="3" t="n">
        <v>38</v>
      </c>
      <c r="B135" s="3" t="s">
        <v>307</v>
      </c>
      <c r="C135" s="3" t="s">
        <v>339</v>
      </c>
      <c r="D135" s="3" t="s">
        <v>395</v>
      </c>
      <c r="E135" s="3" t="s">
        <v>396</v>
      </c>
      <c r="F135" s="3" t="s">
        <v>311</v>
      </c>
      <c r="G135" s="3" t="s">
        <v>169</v>
      </c>
      <c r="H135" s="3" t="s">
        <v>27</v>
      </c>
      <c r="I135" s="3" t="s">
        <v>397</v>
      </c>
    </row>
    <row r="136" customFormat="false" ht="21.75" hidden="false" customHeight="true" outlineLevel="0" collapsed="false">
      <c r="A136" s="3" t="n">
        <v>39</v>
      </c>
      <c r="B136" s="3" t="s">
        <v>319</v>
      </c>
      <c r="C136" s="3" t="s">
        <v>339</v>
      </c>
      <c r="D136" s="3" t="s">
        <v>398</v>
      </c>
      <c r="E136" s="3" t="s">
        <v>399</v>
      </c>
      <c r="F136" s="3" t="s">
        <v>311</v>
      </c>
      <c r="G136" s="3" t="s">
        <v>169</v>
      </c>
      <c r="H136" s="3" t="s">
        <v>27</v>
      </c>
      <c r="I136" s="3" t="s">
        <v>397</v>
      </c>
    </row>
    <row r="137" customFormat="false" ht="21.75" hidden="false" customHeight="true" outlineLevel="0" collapsed="false">
      <c r="A137" s="3" t="n">
        <v>40</v>
      </c>
      <c r="B137" s="3" t="s">
        <v>319</v>
      </c>
      <c r="C137" s="3" t="s">
        <v>339</v>
      </c>
      <c r="D137" s="3" t="s">
        <v>400</v>
      </c>
      <c r="E137" s="3" t="s">
        <v>401</v>
      </c>
      <c r="F137" s="3" t="s">
        <v>311</v>
      </c>
      <c r="G137" s="3" t="s">
        <v>169</v>
      </c>
      <c r="H137" s="3" t="s">
        <v>27</v>
      </c>
      <c r="I137" s="3" t="s">
        <v>402</v>
      </c>
    </row>
    <row r="138" customFormat="false" ht="21.75" hidden="false" customHeight="true" outlineLevel="0" collapsed="false">
      <c r="A138" s="3" t="n">
        <v>1</v>
      </c>
      <c r="B138" s="3" t="s">
        <v>403</v>
      </c>
      <c r="C138" s="3" t="s">
        <v>404</v>
      </c>
      <c r="D138" s="3" t="s">
        <v>405</v>
      </c>
      <c r="E138" s="3" t="s">
        <v>406</v>
      </c>
      <c r="F138" s="3" t="s">
        <v>407</v>
      </c>
      <c r="G138" s="3" t="s">
        <v>14</v>
      </c>
      <c r="H138" s="3" t="s">
        <v>27</v>
      </c>
      <c r="I138" s="3" t="s">
        <v>408</v>
      </c>
    </row>
    <row r="139" customFormat="false" ht="21.75" hidden="false" customHeight="true" outlineLevel="0" collapsed="false">
      <c r="A139" s="3" t="n">
        <v>2</v>
      </c>
      <c r="B139" s="3" t="s">
        <v>403</v>
      </c>
      <c r="C139" s="3" t="s">
        <v>404</v>
      </c>
      <c r="D139" s="3" t="s">
        <v>409</v>
      </c>
      <c r="E139" s="3" t="s">
        <v>410</v>
      </c>
      <c r="F139" s="3" t="s">
        <v>407</v>
      </c>
      <c r="G139" s="3" t="s">
        <v>14</v>
      </c>
      <c r="H139" s="3" t="s">
        <v>27</v>
      </c>
      <c r="I139" s="3" t="s">
        <v>411</v>
      </c>
    </row>
    <row r="140" customFormat="false" ht="21.75" hidden="false" customHeight="true" outlineLevel="0" collapsed="false">
      <c r="A140" s="3" t="n">
        <v>3</v>
      </c>
      <c r="B140" s="3" t="s">
        <v>403</v>
      </c>
      <c r="C140" s="3" t="s">
        <v>404</v>
      </c>
      <c r="D140" s="3" t="s">
        <v>412</v>
      </c>
      <c r="E140" s="3" t="s">
        <v>413</v>
      </c>
      <c r="F140" s="3" t="s">
        <v>407</v>
      </c>
      <c r="G140" s="3" t="s">
        <v>14</v>
      </c>
      <c r="H140" s="3" t="s">
        <v>27</v>
      </c>
      <c r="I140" s="3"/>
    </row>
    <row r="141" customFormat="false" ht="21.75" hidden="false" customHeight="true" outlineLevel="0" collapsed="false">
      <c r="A141" s="3" t="n">
        <v>4</v>
      </c>
      <c r="B141" s="3" t="s">
        <v>403</v>
      </c>
      <c r="C141" s="3" t="s">
        <v>404</v>
      </c>
      <c r="D141" s="3" t="s">
        <v>414</v>
      </c>
      <c r="E141" s="3" t="s">
        <v>415</v>
      </c>
      <c r="F141" s="3" t="s">
        <v>407</v>
      </c>
      <c r="G141" s="3" t="s">
        <v>14</v>
      </c>
      <c r="H141" s="3" t="s">
        <v>27</v>
      </c>
      <c r="I141" s="3"/>
    </row>
    <row r="142" customFormat="false" ht="21.75" hidden="false" customHeight="true" outlineLevel="0" collapsed="false">
      <c r="A142" s="3" t="n">
        <v>8</v>
      </c>
      <c r="B142" s="3" t="s">
        <v>403</v>
      </c>
      <c r="C142" s="3" t="s">
        <v>416</v>
      </c>
      <c r="D142" s="3" t="s">
        <v>417</v>
      </c>
      <c r="E142" s="3" t="s">
        <v>418</v>
      </c>
      <c r="F142" s="3" t="s">
        <v>407</v>
      </c>
      <c r="G142" s="3" t="s">
        <v>14</v>
      </c>
      <c r="H142" s="3" t="s">
        <v>27</v>
      </c>
      <c r="I142" s="3" t="s">
        <v>419</v>
      </c>
    </row>
    <row r="143" customFormat="false" ht="21.75" hidden="false" customHeight="true" outlineLevel="0" collapsed="false">
      <c r="A143" s="3" t="n">
        <v>15</v>
      </c>
      <c r="B143" s="3" t="s">
        <v>403</v>
      </c>
      <c r="C143" s="3" t="s">
        <v>420</v>
      </c>
      <c r="D143" s="3" t="s">
        <v>421</v>
      </c>
      <c r="E143" s="3" t="s">
        <v>422</v>
      </c>
      <c r="F143" s="3" t="s">
        <v>407</v>
      </c>
      <c r="G143" s="3" t="s">
        <v>14</v>
      </c>
      <c r="H143" s="3" t="s">
        <v>27</v>
      </c>
      <c r="I143" s="3"/>
    </row>
    <row r="144" customFormat="false" ht="21.75" hidden="false" customHeight="true" outlineLevel="0" collapsed="false">
      <c r="A144" s="3" t="n">
        <v>21</v>
      </c>
      <c r="B144" s="3" t="s">
        <v>403</v>
      </c>
      <c r="C144" s="3" t="s">
        <v>423</v>
      </c>
      <c r="D144" s="3" t="s">
        <v>424</v>
      </c>
      <c r="E144" s="3" t="s">
        <v>425</v>
      </c>
      <c r="F144" s="3" t="s">
        <v>407</v>
      </c>
      <c r="G144" s="3" t="s">
        <v>14</v>
      </c>
      <c r="H144" s="3" t="s">
        <v>27</v>
      </c>
      <c r="I144" s="3" t="s">
        <v>426</v>
      </c>
    </row>
    <row r="145" customFormat="false" ht="21.75" hidden="false" customHeight="true" outlineLevel="0" collapsed="false">
      <c r="A145" s="3" t="n">
        <v>22</v>
      </c>
      <c r="B145" s="3" t="s">
        <v>403</v>
      </c>
      <c r="C145" s="3" t="s">
        <v>423</v>
      </c>
      <c r="D145" s="3" t="s">
        <v>427</v>
      </c>
      <c r="E145" s="3" t="s">
        <v>428</v>
      </c>
      <c r="F145" s="3" t="s">
        <v>407</v>
      </c>
      <c r="G145" s="3" t="s">
        <v>14</v>
      </c>
      <c r="H145" s="3" t="s">
        <v>27</v>
      </c>
      <c r="I145" s="3" t="s">
        <v>426</v>
      </c>
    </row>
    <row r="146" customFormat="false" ht="21.75" hidden="false" customHeight="true" outlineLevel="0" collapsed="false">
      <c r="A146" s="3" t="n">
        <v>23</v>
      </c>
      <c r="B146" s="3" t="s">
        <v>403</v>
      </c>
      <c r="C146" s="3" t="s">
        <v>423</v>
      </c>
      <c r="D146" s="3" t="s">
        <v>429</v>
      </c>
      <c r="E146" s="3" t="s">
        <v>430</v>
      </c>
      <c r="F146" s="3" t="s">
        <v>407</v>
      </c>
      <c r="G146" s="3" t="s">
        <v>14</v>
      </c>
      <c r="H146" s="3" t="s">
        <v>27</v>
      </c>
      <c r="I146" s="3" t="s">
        <v>426</v>
      </c>
    </row>
    <row r="147" customFormat="false" ht="21.75" hidden="false" customHeight="true" outlineLevel="0" collapsed="false">
      <c r="A147" s="3" t="n">
        <v>28</v>
      </c>
      <c r="B147" s="3" t="s">
        <v>403</v>
      </c>
      <c r="C147" s="3" t="s">
        <v>431</v>
      </c>
      <c r="D147" s="3" t="s">
        <v>432</v>
      </c>
      <c r="E147" s="3" t="s">
        <v>433</v>
      </c>
      <c r="F147" s="3" t="s">
        <v>407</v>
      </c>
      <c r="G147" s="3" t="s">
        <v>14</v>
      </c>
      <c r="H147" s="3" t="s">
        <v>27</v>
      </c>
      <c r="I147" s="3" t="s">
        <v>434</v>
      </c>
    </row>
    <row r="148" customFormat="false" ht="21.75" hidden="false" customHeight="true" outlineLevel="0" collapsed="false">
      <c r="A148" s="3" t="n">
        <v>29</v>
      </c>
      <c r="B148" s="3" t="s">
        <v>403</v>
      </c>
      <c r="C148" s="3" t="s">
        <v>431</v>
      </c>
      <c r="D148" s="3" t="s">
        <v>435</v>
      </c>
      <c r="E148" s="3" t="s">
        <v>436</v>
      </c>
      <c r="F148" s="3" t="s">
        <v>407</v>
      </c>
      <c r="G148" s="3" t="s">
        <v>14</v>
      </c>
      <c r="H148" s="3" t="s">
        <v>27</v>
      </c>
      <c r="I148" s="3"/>
    </row>
    <row r="149" customFormat="false" ht="21.75" hidden="false" customHeight="true" outlineLevel="0" collapsed="false">
      <c r="A149" s="3" t="n">
        <v>20</v>
      </c>
      <c r="B149" s="3" t="s">
        <v>403</v>
      </c>
      <c r="C149" s="3" t="s">
        <v>420</v>
      </c>
      <c r="D149" s="3" t="s">
        <v>437</v>
      </c>
      <c r="E149" s="3" t="s">
        <v>438</v>
      </c>
      <c r="F149" s="3" t="s">
        <v>407</v>
      </c>
      <c r="G149" s="3" t="s">
        <v>150</v>
      </c>
      <c r="H149" s="3" t="s">
        <v>27</v>
      </c>
      <c r="I149" s="3"/>
    </row>
    <row r="150" customFormat="false" ht="21.75" hidden="false" customHeight="true" outlineLevel="0" collapsed="false">
      <c r="A150" s="3" t="n">
        <v>37</v>
      </c>
      <c r="B150" s="3" t="s">
        <v>403</v>
      </c>
      <c r="C150" s="3" t="s">
        <v>439</v>
      </c>
      <c r="D150" s="3" t="s">
        <v>440</v>
      </c>
      <c r="E150" s="3" t="s">
        <v>441</v>
      </c>
      <c r="F150" s="3" t="s">
        <v>407</v>
      </c>
      <c r="G150" s="3" t="s">
        <v>150</v>
      </c>
      <c r="H150" s="3" t="s">
        <v>27</v>
      </c>
      <c r="I150" s="3"/>
    </row>
    <row r="151" customFormat="false" ht="21.75" hidden="false" customHeight="true" outlineLevel="0" collapsed="false">
      <c r="A151" s="3" t="n">
        <v>38</v>
      </c>
      <c r="B151" s="3" t="s">
        <v>403</v>
      </c>
      <c r="C151" s="3" t="s">
        <v>439</v>
      </c>
      <c r="D151" s="3" t="s">
        <v>442</v>
      </c>
      <c r="E151" s="3" t="s">
        <v>443</v>
      </c>
      <c r="F151" s="3" t="s">
        <v>407</v>
      </c>
      <c r="G151" s="3" t="s">
        <v>150</v>
      </c>
      <c r="H151" s="3" t="s">
        <v>27</v>
      </c>
      <c r="I151" s="3"/>
    </row>
    <row r="152" customFormat="false" ht="21.75" hidden="false" customHeight="true" outlineLevel="0" collapsed="false">
      <c r="A152" s="3" t="n">
        <v>5</v>
      </c>
      <c r="B152" s="3" t="s">
        <v>403</v>
      </c>
      <c r="C152" s="3" t="s">
        <v>404</v>
      </c>
      <c r="D152" s="3" t="s">
        <v>444</v>
      </c>
      <c r="E152" s="3" t="s">
        <v>445</v>
      </c>
      <c r="F152" s="3" t="s">
        <v>407</v>
      </c>
      <c r="G152" s="3" t="s">
        <v>169</v>
      </c>
      <c r="H152" s="3" t="s">
        <v>27</v>
      </c>
      <c r="I152" s="3"/>
    </row>
    <row r="153" customFormat="false" ht="21.75" hidden="false" customHeight="true" outlineLevel="0" collapsed="false">
      <c r="A153" s="3" t="n">
        <v>6</v>
      </c>
      <c r="B153" s="3" t="s">
        <v>403</v>
      </c>
      <c r="C153" s="3" t="s">
        <v>404</v>
      </c>
      <c r="D153" s="3" t="s">
        <v>446</v>
      </c>
      <c r="E153" s="3" t="s">
        <v>447</v>
      </c>
      <c r="F153" s="3" t="s">
        <v>407</v>
      </c>
      <c r="G153" s="3" t="s">
        <v>169</v>
      </c>
      <c r="H153" s="3" t="s">
        <v>27</v>
      </c>
      <c r="I153" s="3"/>
    </row>
    <row r="154" customFormat="false" ht="21.75" hidden="false" customHeight="true" outlineLevel="0" collapsed="false">
      <c r="A154" s="3" t="n">
        <v>7</v>
      </c>
      <c r="B154" s="3" t="s">
        <v>403</v>
      </c>
      <c r="C154" s="3" t="s">
        <v>404</v>
      </c>
      <c r="D154" s="3" t="s">
        <v>448</v>
      </c>
      <c r="E154" s="3" t="s">
        <v>449</v>
      </c>
      <c r="F154" s="3" t="s">
        <v>407</v>
      </c>
      <c r="G154" s="3" t="s">
        <v>169</v>
      </c>
      <c r="H154" s="3" t="s">
        <v>27</v>
      </c>
      <c r="I154" s="3"/>
    </row>
    <row r="155" customFormat="false" ht="21.75" hidden="false" customHeight="true" outlineLevel="0" collapsed="false">
      <c r="A155" s="3" t="n">
        <v>9</v>
      </c>
      <c r="B155" s="3" t="s">
        <v>403</v>
      </c>
      <c r="C155" s="3" t="s">
        <v>416</v>
      </c>
      <c r="D155" s="3" t="s">
        <v>450</v>
      </c>
      <c r="E155" s="3" t="s">
        <v>451</v>
      </c>
      <c r="F155" s="3" t="s">
        <v>407</v>
      </c>
      <c r="G155" s="3" t="s">
        <v>169</v>
      </c>
      <c r="H155" s="3" t="s">
        <v>27</v>
      </c>
      <c r="I155" s="3"/>
    </row>
    <row r="156" customFormat="false" ht="21.75" hidden="false" customHeight="true" outlineLevel="0" collapsed="false">
      <c r="A156" s="3" t="n">
        <v>10</v>
      </c>
      <c r="B156" s="3" t="s">
        <v>403</v>
      </c>
      <c r="C156" s="3" t="s">
        <v>416</v>
      </c>
      <c r="D156" s="3" t="s">
        <v>452</v>
      </c>
      <c r="E156" s="3" t="s">
        <v>453</v>
      </c>
      <c r="F156" s="3" t="s">
        <v>407</v>
      </c>
      <c r="G156" s="3" t="s">
        <v>169</v>
      </c>
      <c r="H156" s="3" t="s">
        <v>27</v>
      </c>
      <c r="I156" s="3"/>
    </row>
    <row r="157" customFormat="false" ht="21.75" hidden="false" customHeight="true" outlineLevel="0" collapsed="false">
      <c r="A157" s="3" t="n">
        <v>11</v>
      </c>
      <c r="B157" s="3" t="s">
        <v>403</v>
      </c>
      <c r="C157" s="3" t="s">
        <v>416</v>
      </c>
      <c r="D157" s="3" t="s">
        <v>454</v>
      </c>
      <c r="E157" s="3" t="s">
        <v>455</v>
      </c>
      <c r="F157" s="3" t="s">
        <v>407</v>
      </c>
      <c r="G157" s="3" t="s">
        <v>169</v>
      </c>
      <c r="H157" s="3" t="s">
        <v>27</v>
      </c>
      <c r="I157" s="3"/>
    </row>
    <row r="158" customFormat="false" ht="21.75" hidden="false" customHeight="true" outlineLevel="0" collapsed="false">
      <c r="A158" s="3" t="n">
        <v>12</v>
      </c>
      <c r="B158" s="3" t="s">
        <v>403</v>
      </c>
      <c r="C158" s="3" t="s">
        <v>416</v>
      </c>
      <c r="D158" s="3" t="s">
        <v>456</v>
      </c>
      <c r="E158" s="3" t="s">
        <v>457</v>
      </c>
      <c r="F158" s="3" t="s">
        <v>407</v>
      </c>
      <c r="G158" s="3" t="s">
        <v>169</v>
      </c>
      <c r="H158" s="3" t="s">
        <v>27</v>
      </c>
      <c r="I158" s="3"/>
    </row>
    <row r="159" customFormat="false" ht="21.75" hidden="false" customHeight="true" outlineLevel="0" collapsed="false">
      <c r="A159" s="3" t="n">
        <v>13</v>
      </c>
      <c r="B159" s="3" t="s">
        <v>403</v>
      </c>
      <c r="C159" s="3" t="s">
        <v>416</v>
      </c>
      <c r="D159" s="3" t="s">
        <v>458</v>
      </c>
      <c r="E159" s="3" t="s">
        <v>459</v>
      </c>
      <c r="F159" s="3" t="s">
        <v>407</v>
      </c>
      <c r="G159" s="3" t="s">
        <v>169</v>
      </c>
      <c r="H159" s="3" t="s">
        <v>27</v>
      </c>
      <c r="I159" s="3"/>
    </row>
    <row r="160" customFormat="false" ht="21.75" hidden="false" customHeight="true" outlineLevel="0" collapsed="false">
      <c r="A160" s="3" t="n">
        <v>14</v>
      </c>
      <c r="B160" s="3" t="s">
        <v>403</v>
      </c>
      <c r="C160" s="3" t="s">
        <v>416</v>
      </c>
      <c r="D160" s="3" t="s">
        <v>460</v>
      </c>
      <c r="E160" s="3" t="s">
        <v>461</v>
      </c>
      <c r="F160" s="3" t="s">
        <v>407</v>
      </c>
      <c r="G160" s="3" t="s">
        <v>169</v>
      </c>
      <c r="H160" s="3" t="s">
        <v>27</v>
      </c>
      <c r="I160" s="3"/>
    </row>
    <row r="161" customFormat="false" ht="21.75" hidden="false" customHeight="true" outlineLevel="0" collapsed="false">
      <c r="A161" s="3" t="n">
        <v>16</v>
      </c>
      <c r="B161" s="3" t="s">
        <v>403</v>
      </c>
      <c r="C161" s="3" t="s">
        <v>420</v>
      </c>
      <c r="D161" s="3" t="s">
        <v>462</v>
      </c>
      <c r="E161" s="3" t="s">
        <v>463</v>
      </c>
      <c r="F161" s="3" t="s">
        <v>407</v>
      </c>
      <c r="G161" s="3" t="s">
        <v>169</v>
      </c>
      <c r="H161" s="3" t="s">
        <v>27</v>
      </c>
      <c r="I161" s="3"/>
    </row>
    <row r="162" customFormat="false" ht="21.75" hidden="false" customHeight="true" outlineLevel="0" collapsed="false">
      <c r="A162" s="3" t="n">
        <v>17</v>
      </c>
      <c r="B162" s="3" t="s">
        <v>403</v>
      </c>
      <c r="C162" s="3" t="s">
        <v>420</v>
      </c>
      <c r="D162" s="3" t="s">
        <v>464</v>
      </c>
      <c r="E162" s="3" t="s">
        <v>465</v>
      </c>
      <c r="F162" s="3" t="s">
        <v>407</v>
      </c>
      <c r="G162" s="3" t="s">
        <v>169</v>
      </c>
      <c r="H162" s="3" t="s">
        <v>27</v>
      </c>
      <c r="I162" s="3" t="s">
        <v>466</v>
      </c>
    </row>
    <row r="163" customFormat="false" ht="21.75" hidden="false" customHeight="true" outlineLevel="0" collapsed="false">
      <c r="A163" s="3" t="n">
        <v>18</v>
      </c>
      <c r="B163" s="3" t="s">
        <v>403</v>
      </c>
      <c r="C163" s="3" t="s">
        <v>420</v>
      </c>
      <c r="D163" s="3" t="s">
        <v>467</v>
      </c>
      <c r="E163" s="3" t="s">
        <v>468</v>
      </c>
      <c r="F163" s="3" t="s">
        <v>407</v>
      </c>
      <c r="G163" s="3" t="s">
        <v>169</v>
      </c>
      <c r="H163" s="3" t="s">
        <v>27</v>
      </c>
      <c r="I163" s="3"/>
    </row>
    <row r="164" customFormat="false" ht="21.75" hidden="false" customHeight="true" outlineLevel="0" collapsed="false">
      <c r="A164" s="3" t="n">
        <v>19</v>
      </c>
      <c r="B164" s="3" t="s">
        <v>403</v>
      </c>
      <c r="C164" s="3" t="s">
        <v>420</v>
      </c>
      <c r="D164" s="3" t="s">
        <v>469</v>
      </c>
      <c r="E164" s="3" t="s">
        <v>470</v>
      </c>
      <c r="F164" s="3" t="s">
        <v>407</v>
      </c>
      <c r="G164" s="3" t="s">
        <v>169</v>
      </c>
      <c r="H164" s="3" t="s">
        <v>27</v>
      </c>
      <c r="I164" s="3"/>
    </row>
    <row r="165" customFormat="false" ht="21.75" hidden="false" customHeight="true" outlineLevel="0" collapsed="false">
      <c r="A165" s="3" t="n">
        <v>24</v>
      </c>
      <c r="B165" s="3" t="s">
        <v>403</v>
      </c>
      <c r="C165" s="3" t="s">
        <v>423</v>
      </c>
      <c r="D165" s="3" t="s">
        <v>471</v>
      </c>
      <c r="E165" s="3" t="s">
        <v>472</v>
      </c>
      <c r="F165" s="3" t="s">
        <v>407</v>
      </c>
      <c r="G165" s="3" t="s">
        <v>169</v>
      </c>
      <c r="H165" s="3" t="s">
        <v>27</v>
      </c>
      <c r="I165" s="3" t="s">
        <v>426</v>
      </c>
    </row>
    <row r="166" customFormat="false" ht="21.75" hidden="false" customHeight="true" outlineLevel="0" collapsed="false">
      <c r="A166" s="3" t="n">
        <v>25</v>
      </c>
      <c r="B166" s="3" t="s">
        <v>403</v>
      </c>
      <c r="C166" s="3" t="s">
        <v>423</v>
      </c>
      <c r="D166" s="3" t="s">
        <v>473</v>
      </c>
      <c r="E166" s="3" t="s">
        <v>474</v>
      </c>
      <c r="F166" s="3" t="s">
        <v>407</v>
      </c>
      <c r="G166" s="3" t="s">
        <v>169</v>
      </c>
      <c r="H166" s="3" t="s">
        <v>27</v>
      </c>
      <c r="I166" s="3" t="s">
        <v>475</v>
      </c>
    </row>
    <row r="167" customFormat="false" ht="21.75" hidden="false" customHeight="true" outlineLevel="0" collapsed="false">
      <c r="A167" s="3" t="n">
        <v>26</v>
      </c>
      <c r="B167" s="3" t="s">
        <v>403</v>
      </c>
      <c r="C167" s="3" t="s">
        <v>423</v>
      </c>
      <c r="D167" s="3" t="s">
        <v>476</v>
      </c>
      <c r="E167" s="3" t="s">
        <v>477</v>
      </c>
      <c r="F167" s="3" t="s">
        <v>407</v>
      </c>
      <c r="G167" s="3" t="s">
        <v>169</v>
      </c>
      <c r="H167" s="3" t="s">
        <v>27</v>
      </c>
      <c r="I167" s="3" t="s">
        <v>426</v>
      </c>
    </row>
    <row r="168" customFormat="false" ht="21.75" hidden="false" customHeight="true" outlineLevel="0" collapsed="false">
      <c r="A168" s="3" t="n">
        <v>27</v>
      </c>
      <c r="B168" s="3" t="s">
        <v>403</v>
      </c>
      <c r="C168" s="3" t="s">
        <v>423</v>
      </c>
      <c r="D168" s="3" t="s">
        <v>478</v>
      </c>
      <c r="E168" s="3" t="s">
        <v>479</v>
      </c>
      <c r="F168" s="3" t="s">
        <v>407</v>
      </c>
      <c r="G168" s="3" t="s">
        <v>169</v>
      </c>
      <c r="H168" s="3" t="s">
        <v>27</v>
      </c>
      <c r="I168" s="3" t="s">
        <v>426</v>
      </c>
    </row>
    <row r="169" customFormat="false" ht="21.75" hidden="false" customHeight="true" outlineLevel="0" collapsed="false">
      <c r="A169" s="3" t="n">
        <v>30</v>
      </c>
      <c r="B169" s="3" t="s">
        <v>403</v>
      </c>
      <c r="C169" s="3" t="s">
        <v>431</v>
      </c>
      <c r="D169" s="3" t="s">
        <v>480</v>
      </c>
      <c r="E169" s="3" t="s">
        <v>481</v>
      </c>
      <c r="F169" s="3" t="s">
        <v>407</v>
      </c>
      <c r="G169" s="3" t="s">
        <v>169</v>
      </c>
      <c r="H169" s="3" t="s">
        <v>27</v>
      </c>
      <c r="I169" s="3"/>
    </row>
    <row r="170" customFormat="false" ht="21.75" hidden="false" customHeight="true" outlineLevel="0" collapsed="false">
      <c r="A170" s="3" t="n">
        <v>31</v>
      </c>
      <c r="B170" s="3" t="s">
        <v>403</v>
      </c>
      <c r="C170" s="3" t="s">
        <v>431</v>
      </c>
      <c r="D170" s="3" t="s">
        <v>482</v>
      </c>
      <c r="E170" s="3" t="s">
        <v>483</v>
      </c>
      <c r="F170" s="3" t="s">
        <v>407</v>
      </c>
      <c r="G170" s="3" t="s">
        <v>169</v>
      </c>
      <c r="H170" s="3" t="s">
        <v>27</v>
      </c>
      <c r="I170" s="3"/>
    </row>
    <row r="171" customFormat="false" ht="21.75" hidden="false" customHeight="true" outlineLevel="0" collapsed="false">
      <c r="A171" s="3" t="n">
        <v>32</v>
      </c>
      <c r="B171" s="3" t="s">
        <v>403</v>
      </c>
      <c r="C171" s="3" t="s">
        <v>431</v>
      </c>
      <c r="D171" s="3" t="s">
        <v>484</v>
      </c>
      <c r="E171" s="3" t="s">
        <v>485</v>
      </c>
      <c r="F171" s="3" t="s">
        <v>407</v>
      </c>
      <c r="G171" s="3" t="s">
        <v>169</v>
      </c>
      <c r="H171" s="3" t="s">
        <v>27</v>
      </c>
      <c r="I171" s="3"/>
    </row>
    <row r="172" customFormat="false" ht="21.75" hidden="false" customHeight="true" outlineLevel="0" collapsed="false">
      <c r="A172" s="3" t="n">
        <v>33</v>
      </c>
      <c r="B172" s="3" t="s">
        <v>403</v>
      </c>
      <c r="C172" s="3" t="s">
        <v>486</v>
      </c>
      <c r="D172" s="3" t="s">
        <v>487</v>
      </c>
      <c r="E172" s="3" t="s">
        <v>488</v>
      </c>
      <c r="F172" s="3" t="s">
        <v>407</v>
      </c>
      <c r="G172" s="3" t="s">
        <v>169</v>
      </c>
      <c r="H172" s="3" t="s">
        <v>27</v>
      </c>
      <c r="I172" s="3"/>
    </row>
    <row r="173" customFormat="false" ht="21.75" hidden="false" customHeight="true" outlineLevel="0" collapsed="false">
      <c r="A173" s="3" t="n">
        <v>34</v>
      </c>
      <c r="B173" s="3" t="s">
        <v>403</v>
      </c>
      <c r="C173" s="3" t="s">
        <v>486</v>
      </c>
      <c r="D173" s="3" t="s">
        <v>489</v>
      </c>
      <c r="E173" s="3" t="s">
        <v>490</v>
      </c>
      <c r="F173" s="3" t="s">
        <v>407</v>
      </c>
      <c r="G173" s="3" t="s">
        <v>169</v>
      </c>
      <c r="H173" s="3" t="s">
        <v>27</v>
      </c>
      <c r="I173" s="3"/>
    </row>
    <row r="174" customFormat="false" ht="21.75" hidden="false" customHeight="true" outlineLevel="0" collapsed="false">
      <c r="A174" s="3" t="n">
        <v>35</v>
      </c>
      <c r="B174" s="3" t="s">
        <v>403</v>
      </c>
      <c r="C174" s="3" t="s">
        <v>486</v>
      </c>
      <c r="D174" s="3" t="s">
        <v>491</v>
      </c>
      <c r="E174" s="3" t="s">
        <v>492</v>
      </c>
      <c r="F174" s="3" t="s">
        <v>407</v>
      </c>
      <c r="G174" s="3" t="s">
        <v>169</v>
      </c>
      <c r="H174" s="3" t="s">
        <v>27</v>
      </c>
      <c r="I174" s="3"/>
    </row>
    <row r="175" customFormat="false" ht="21.75" hidden="false" customHeight="true" outlineLevel="0" collapsed="false">
      <c r="A175" s="3" t="n">
        <v>36</v>
      </c>
      <c r="B175" s="3" t="s">
        <v>403</v>
      </c>
      <c r="C175" s="3" t="s">
        <v>439</v>
      </c>
      <c r="D175" s="3" t="s">
        <v>493</v>
      </c>
      <c r="E175" s="3" t="s">
        <v>494</v>
      </c>
      <c r="F175" s="3" t="s">
        <v>407</v>
      </c>
      <c r="G175" s="3" t="s">
        <v>169</v>
      </c>
      <c r="H175" s="3" t="s">
        <v>27</v>
      </c>
      <c r="I175" s="3"/>
    </row>
    <row r="176" customFormat="false" ht="21.75" hidden="false" customHeight="true" outlineLevel="0" collapsed="false">
      <c r="A176" s="3" t="n">
        <v>1</v>
      </c>
      <c r="B176" s="3" t="s">
        <v>495</v>
      </c>
      <c r="C176" s="3" t="s">
        <v>496</v>
      </c>
      <c r="D176" s="3" t="s">
        <v>497</v>
      </c>
      <c r="E176" s="3" t="s">
        <v>498</v>
      </c>
      <c r="F176" s="3" t="s">
        <v>499</v>
      </c>
      <c r="G176" s="3" t="s">
        <v>14</v>
      </c>
      <c r="H176" s="3" t="s">
        <v>27</v>
      </c>
      <c r="I176" s="3" t="s">
        <v>411</v>
      </c>
    </row>
    <row r="177" customFormat="false" ht="21.75" hidden="false" customHeight="true" outlineLevel="0" collapsed="false">
      <c r="A177" s="3" t="n">
        <v>2</v>
      </c>
      <c r="B177" s="3" t="s">
        <v>495</v>
      </c>
      <c r="C177" s="3" t="s">
        <v>496</v>
      </c>
      <c r="D177" s="3" t="s">
        <v>500</v>
      </c>
      <c r="E177" s="3" t="s">
        <v>501</v>
      </c>
      <c r="F177" s="3" t="s">
        <v>499</v>
      </c>
      <c r="G177" s="3" t="s">
        <v>14</v>
      </c>
      <c r="H177" s="3" t="s">
        <v>27</v>
      </c>
      <c r="I177" s="3"/>
    </row>
    <row r="178" customFormat="false" ht="21.75" hidden="false" customHeight="true" outlineLevel="0" collapsed="false">
      <c r="A178" s="3" t="n">
        <v>3</v>
      </c>
      <c r="B178" s="3" t="s">
        <v>495</v>
      </c>
      <c r="C178" s="3" t="s">
        <v>496</v>
      </c>
      <c r="D178" s="3" t="s">
        <v>502</v>
      </c>
      <c r="E178" s="3" t="s">
        <v>503</v>
      </c>
      <c r="F178" s="3" t="s">
        <v>499</v>
      </c>
      <c r="G178" s="3" t="s">
        <v>14</v>
      </c>
      <c r="H178" s="3" t="s">
        <v>27</v>
      </c>
      <c r="I178" s="3"/>
    </row>
    <row r="179" customFormat="false" ht="21.75" hidden="false" customHeight="true" outlineLevel="0" collapsed="false">
      <c r="A179" s="3" t="n">
        <v>6</v>
      </c>
      <c r="B179" s="3" t="s">
        <v>495</v>
      </c>
      <c r="C179" s="3" t="s">
        <v>496</v>
      </c>
      <c r="D179" s="3" t="s">
        <v>504</v>
      </c>
      <c r="E179" s="3" t="s">
        <v>505</v>
      </c>
      <c r="F179" s="3" t="s">
        <v>499</v>
      </c>
      <c r="G179" s="3" t="s">
        <v>14</v>
      </c>
      <c r="H179" s="3" t="s">
        <v>27</v>
      </c>
      <c r="I179" s="3"/>
    </row>
    <row r="180" customFormat="false" ht="21.75" hidden="false" customHeight="true" outlineLevel="0" collapsed="false">
      <c r="A180" s="3" t="n">
        <v>8</v>
      </c>
      <c r="B180" s="3" t="s">
        <v>495</v>
      </c>
      <c r="C180" s="3" t="s">
        <v>496</v>
      </c>
      <c r="D180" s="3" t="s">
        <v>506</v>
      </c>
      <c r="E180" s="3" t="s">
        <v>507</v>
      </c>
      <c r="F180" s="3" t="s">
        <v>499</v>
      </c>
      <c r="G180" s="3" t="s">
        <v>14</v>
      </c>
      <c r="H180" s="3" t="s">
        <v>27</v>
      </c>
      <c r="I180" s="3"/>
    </row>
    <row r="181" customFormat="false" ht="21.75" hidden="false" customHeight="true" outlineLevel="0" collapsed="false">
      <c r="A181" s="3" t="n">
        <v>10</v>
      </c>
      <c r="B181" s="3" t="s">
        <v>495</v>
      </c>
      <c r="C181" s="3" t="s">
        <v>508</v>
      </c>
      <c r="D181" s="3" t="s">
        <v>509</v>
      </c>
      <c r="E181" s="3" t="s">
        <v>510</v>
      </c>
      <c r="F181" s="3" t="s">
        <v>499</v>
      </c>
      <c r="G181" s="3" t="s">
        <v>14</v>
      </c>
      <c r="H181" s="3" t="s">
        <v>27</v>
      </c>
      <c r="I181" s="3" t="s">
        <v>511</v>
      </c>
    </row>
    <row r="182" customFormat="false" ht="21.75" hidden="false" customHeight="true" outlineLevel="0" collapsed="false">
      <c r="A182" s="3" t="n">
        <v>11</v>
      </c>
      <c r="B182" s="3" t="s">
        <v>495</v>
      </c>
      <c r="C182" s="3" t="s">
        <v>508</v>
      </c>
      <c r="D182" s="3" t="s">
        <v>512</v>
      </c>
      <c r="E182" s="3" t="s">
        <v>513</v>
      </c>
      <c r="F182" s="3" t="s">
        <v>499</v>
      </c>
      <c r="G182" s="3" t="s">
        <v>14</v>
      </c>
      <c r="H182" s="3" t="s">
        <v>27</v>
      </c>
      <c r="I182" s="3"/>
    </row>
    <row r="183" customFormat="false" ht="21.75" hidden="false" customHeight="true" outlineLevel="0" collapsed="false">
      <c r="A183" s="3" t="n">
        <v>12</v>
      </c>
      <c r="B183" s="3" t="s">
        <v>495</v>
      </c>
      <c r="C183" s="3" t="s">
        <v>508</v>
      </c>
      <c r="D183" s="3" t="s">
        <v>514</v>
      </c>
      <c r="E183" s="3" t="s">
        <v>515</v>
      </c>
      <c r="F183" s="3" t="s">
        <v>499</v>
      </c>
      <c r="G183" s="3" t="s">
        <v>14</v>
      </c>
      <c r="H183" s="3" t="s">
        <v>27</v>
      </c>
      <c r="I183" s="3" t="s">
        <v>516</v>
      </c>
    </row>
    <row r="184" customFormat="false" ht="21.75" hidden="false" customHeight="true" outlineLevel="0" collapsed="false">
      <c r="A184" s="3" t="n">
        <v>13</v>
      </c>
      <c r="B184" s="3" t="s">
        <v>495</v>
      </c>
      <c r="C184" s="3" t="s">
        <v>508</v>
      </c>
      <c r="D184" s="3" t="s">
        <v>517</v>
      </c>
      <c r="E184" s="3" t="s">
        <v>518</v>
      </c>
      <c r="F184" s="3" t="s">
        <v>499</v>
      </c>
      <c r="G184" s="3" t="s">
        <v>14</v>
      </c>
      <c r="H184" s="3" t="s">
        <v>27</v>
      </c>
      <c r="I184" s="3"/>
    </row>
    <row r="185" customFormat="false" ht="21.75" hidden="false" customHeight="true" outlineLevel="0" collapsed="false">
      <c r="A185" s="3" t="n">
        <v>17</v>
      </c>
      <c r="B185" s="3" t="s">
        <v>495</v>
      </c>
      <c r="C185" s="3" t="s">
        <v>508</v>
      </c>
      <c r="D185" s="3" t="s">
        <v>519</v>
      </c>
      <c r="E185" s="3" t="s">
        <v>520</v>
      </c>
      <c r="F185" s="3" t="s">
        <v>499</v>
      </c>
      <c r="G185" s="3" t="s">
        <v>14</v>
      </c>
      <c r="H185" s="3" t="s">
        <v>27</v>
      </c>
      <c r="I185" s="3"/>
    </row>
    <row r="186" customFormat="false" ht="21.75" hidden="false" customHeight="true" outlineLevel="0" collapsed="false">
      <c r="A186" s="3" t="n">
        <v>18</v>
      </c>
      <c r="B186" s="3" t="s">
        <v>495</v>
      </c>
      <c r="C186" s="3" t="s">
        <v>521</v>
      </c>
      <c r="D186" s="3" t="s">
        <v>522</v>
      </c>
      <c r="E186" s="3" t="s">
        <v>523</v>
      </c>
      <c r="F186" s="3" t="s">
        <v>499</v>
      </c>
      <c r="G186" s="3" t="s">
        <v>14</v>
      </c>
      <c r="H186" s="3" t="s">
        <v>27</v>
      </c>
      <c r="I186" s="3" t="s">
        <v>524</v>
      </c>
    </row>
    <row r="187" customFormat="false" ht="21.75" hidden="false" customHeight="true" outlineLevel="0" collapsed="false">
      <c r="A187" s="3" t="n">
        <v>23</v>
      </c>
      <c r="B187" s="3" t="s">
        <v>495</v>
      </c>
      <c r="C187" s="3" t="s">
        <v>525</v>
      </c>
      <c r="D187" s="3" t="s">
        <v>526</v>
      </c>
      <c r="E187" s="3" t="s">
        <v>527</v>
      </c>
      <c r="F187" s="3" t="s">
        <v>499</v>
      </c>
      <c r="G187" s="3" t="s">
        <v>14</v>
      </c>
      <c r="H187" s="3" t="s">
        <v>27</v>
      </c>
      <c r="I187" s="3" t="s">
        <v>528</v>
      </c>
    </row>
    <row r="188" customFormat="false" ht="21.75" hidden="false" customHeight="true" outlineLevel="0" collapsed="false">
      <c r="A188" s="3" t="n">
        <v>24</v>
      </c>
      <c r="B188" s="3" t="s">
        <v>495</v>
      </c>
      <c r="C188" s="3" t="s">
        <v>525</v>
      </c>
      <c r="D188" s="3" t="s">
        <v>529</v>
      </c>
      <c r="E188" s="3" t="s">
        <v>530</v>
      </c>
      <c r="F188" s="3" t="s">
        <v>499</v>
      </c>
      <c r="G188" s="3" t="s">
        <v>14</v>
      </c>
      <c r="H188" s="3" t="s">
        <v>27</v>
      </c>
      <c r="I188" s="3"/>
    </row>
    <row r="189" customFormat="false" ht="21.75" hidden="false" customHeight="true" outlineLevel="0" collapsed="false">
      <c r="A189" s="3" t="n">
        <v>25</v>
      </c>
      <c r="B189" s="3" t="s">
        <v>495</v>
      </c>
      <c r="C189" s="3" t="s">
        <v>525</v>
      </c>
      <c r="D189" s="3" t="s">
        <v>531</v>
      </c>
      <c r="E189" s="3" t="s">
        <v>532</v>
      </c>
      <c r="F189" s="3" t="s">
        <v>499</v>
      </c>
      <c r="G189" s="3" t="s">
        <v>14</v>
      </c>
      <c r="H189" s="3" t="s">
        <v>27</v>
      </c>
      <c r="I189" s="3"/>
    </row>
    <row r="190" customFormat="false" ht="21.75" hidden="false" customHeight="true" outlineLevel="0" collapsed="false">
      <c r="A190" s="3" t="n">
        <v>29</v>
      </c>
      <c r="B190" s="3" t="s">
        <v>495</v>
      </c>
      <c r="C190" s="3" t="s">
        <v>525</v>
      </c>
      <c r="D190" s="3" t="s">
        <v>533</v>
      </c>
      <c r="E190" s="3" t="s">
        <v>534</v>
      </c>
      <c r="F190" s="3" t="s">
        <v>499</v>
      </c>
      <c r="G190" s="3" t="s">
        <v>14</v>
      </c>
      <c r="H190" s="3" t="s">
        <v>27</v>
      </c>
      <c r="I190" s="3"/>
    </row>
    <row r="191" customFormat="false" ht="21.75" hidden="false" customHeight="true" outlineLevel="0" collapsed="false">
      <c r="A191" s="3" t="n">
        <v>33</v>
      </c>
      <c r="B191" s="3" t="s">
        <v>495</v>
      </c>
      <c r="C191" s="3" t="s">
        <v>535</v>
      </c>
      <c r="D191" s="3" t="s">
        <v>536</v>
      </c>
      <c r="E191" s="3" t="s">
        <v>537</v>
      </c>
      <c r="F191" s="3" t="s">
        <v>499</v>
      </c>
      <c r="G191" s="3" t="s">
        <v>14</v>
      </c>
      <c r="H191" s="3" t="s">
        <v>27</v>
      </c>
      <c r="I191" s="3"/>
    </row>
    <row r="192" customFormat="false" ht="21.75" hidden="false" customHeight="true" outlineLevel="0" collapsed="false">
      <c r="A192" s="3" t="n">
        <v>38</v>
      </c>
      <c r="B192" s="3" t="s">
        <v>495</v>
      </c>
      <c r="C192" s="3" t="s">
        <v>538</v>
      </c>
      <c r="D192" s="3" t="s">
        <v>539</v>
      </c>
      <c r="E192" s="3" t="s">
        <v>540</v>
      </c>
      <c r="F192" s="3" t="s">
        <v>499</v>
      </c>
      <c r="G192" s="3" t="s">
        <v>14</v>
      </c>
      <c r="H192" s="3" t="s">
        <v>27</v>
      </c>
      <c r="I192" s="3"/>
    </row>
    <row r="193" customFormat="false" ht="21.75" hidden="false" customHeight="true" outlineLevel="0" collapsed="false">
      <c r="A193" s="3" t="n">
        <v>39</v>
      </c>
      <c r="B193" s="3" t="s">
        <v>495</v>
      </c>
      <c r="C193" s="3" t="s">
        <v>538</v>
      </c>
      <c r="D193" s="3" t="s">
        <v>541</v>
      </c>
      <c r="E193" s="3" t="s">
        <v>542</v>
      </c>
      <c r="F193" s="3" t="s">
        <v>499</v>
      </c>
      <c r="G193" s="3" t="s">
        <v>14</v>
      </c>
      <c r="H193" s="3" t="s">
        <v>27</v>
      </c>
      <c r="I193" s="3"/>
    </row>
    <row r="194" customFormat="false" ht="21.75" hidden="false" customHeight="true" outlineLevel="0" collapsed="false">
      <c r="A194" s="3" t="n">
        <v>40</v>
      </c>
      <c r="B194" s="3" t="s">
        <v>495</v>
      </c>
      <c r="C194" s="3" t="s">
        <v>538</v>
      </c>
      <c r="D194" s="3" t="s">
        <v>543</v>
      </c>
      <c r="E194" s="3" t="s">
        <v>544</v>
      </c>
      <c r="F194" s="3" t="s">
        <v>499</v>
      </c>
      <c r="G194" s="3" t="s">
        <v>14</v>
      </c>
      <c r="H194" s="3" t="s">
        <v>27</v>
      </c>
      <c r="I194" s="3"/>
    </row>
    <row r="195" customFormat="false" ht="21.75" hidden="false" customHeight="true" outlineLevel="0" collapsed="false">
      <c r="A195" s="3" t="n">
        <v>41</v>
      </c>
      <c r="B195" s="3" t="s">
        <v>495</v>
      </c>
      <c r="C195" s="3" t="s">
        <v>538</v>
      </c>
      <c r="D195" s="3" t="s">
        <v>545</v>
      </c>
      <c r="E195" s="3" t="s">
        <v>546</v>
      </c>
      <c r="F195" s="3" t="s">
        <v>499</v>
      </c>
      <c r="G195" s="3" t="s">
        <v>14</v>
      </c>
      <c r="H195" s="3" t="s">
        <v>27</v>
      </c>
      <c r="I195" s="3"/>
    </row>
    <row r="196" customFormat="false" ht="21.75" hidden="false" customHeight="true" outlineLevel="0" collapsed="false">
      <c r="A196" s="3" t="n">
        <v>46</v>
      </c>
      <c r="B196" s="3" t="s">
        <v>495</v>
      </c>
      <c r="C196" s="3" t="s">
        <v>547</v>
      </c>
      <c r="D196" s="3" t="s">
        <v>548</v>
      </c>
      <c r="E196" s="3" t="s">
        <v>549</v>
      </c>
      <c r="F196" s="3" t="s">
        <v>499</v>
      </c>
      <c r="G196" s="3" t="s">
        <v>14</v>
      </c>
      <c r="H196" s="3" t="s">
        <v>27</v>
      </c>
      <c r="I196" s="3" t="s">
        <v>285</v>
      </c>
    </row>
    <row r="197" customFormat="false" ht="21.75" hidden="false" customHeight="true" outlineLevel="0" collapsed="false">
      <c r="A197" s="3" t="n">
        <v>47</v>
      </c>
      <c r="B197" s="3" t="s">
        <v>495</v>
      </c>
      <c r="C197" s="3" t="s">
        <v>547</v>
      </c>
      <c r="D197" s="3" t="s">
        <v>550</v>
      </c>
      <c r="E197" s="3" t="s">
        <v>551</v>
      </c>
      <c r="F197" s="3" t="s">
        <v>499</v>
      </c>
      <c r="G197" s="3" t="s">
        <v>14</v>
      </c>
      <c r="H197" s="3" t="s">
        <v>27</v>
      </c>
      <c r="I197" s="3"/>
    </row>
    <row r="198" customFormat="false" ht="21.75" hidden="false" customHeight="true" outlineLevel="0" collapsed="false">
      <c r="A198" s="3" t="n">
        <v>48</v>
      </c>
      <c r="B198" s="3" t="s">
        <v>495</v>
      </c>
      <c r="C198" s="3" t="s">
        <v>547</v>
      </c>
      <c r="D198" s="3" t="s">
        <v>552</v>
      </c>
      <c r="E198" s="3" t="s">
        <v>553</v>
      </c>
      <c r="F198" s="3" t="s">
        <v>499</v>
      </c>
      <c r="G198" s="3" t="s">
        <v>14</v>
      </c>
      <c r="H198" s="3" t="s">
        <v>27</v>
      </c>
      <c r="I198" s="3"/>
    </row>
    <row r="199" customFormat="false" ht="21.75" hidden="false" customHeight="true" outlineLevel="0" collapsed="false">
      <c r="A199" s="3" t="n">
        <v>53</v>
      </c>
      <c r="B199" s="3" t="s">
        <v>495</v>
      </c>
      <c r="C199" s="3" t="s">
        <v>554</v>
      </c>
      <c r="D199" s="3" t="s">
        <v>555</v>
      </c>
      <c r="E199" s="3" t="s">
        <v>556</v>
      </c>
      <c r="F199" s="3" t="s">
        <v>499</v>
      </c>
      <c r="G199" s="3" t="s">
        <v>14</v>
      </c>
      <c r="H199" s="3" t="s">
        <v>27</v>
      </c>
      <c r="I199" s="3"/>
    </row>
    <row r="200" customFormat="false" ht="21.75" hidden="false" customHeight="true" outlineLevel="0" collapsed="false">
      <c r="A200" s="3" t="n">
        <v>54</v>
      </c>
      <c r="B200" s="3" t="s">
        <v>495</v>
      </c>
      <c r="C200" s="3" t="s">
        <v>554</v>
      </c>
      <c r="D200" s="3" t="s">
        <v>557</v>
      </c>
      <c r="E200" s="3" t="s">
        <v>558</v>
      </c>
      <c r="F200" s="3" t="s">
        <v>499</v>
      </c>
      <c r="G200" s="3" t="s">
        <v>14</v>
      </c>
      <c r="H200" s="3" t="s">
        <v>27</v>
      </c>
      <c r="I200" s="3"/>
    </row>
    <row r="201" customFormat="false" ht="21.75" hidden="false" customHeight="true" outlineLevel="0" collapsed="false">
      <c r="A201" s="3" t="n">
        <v>4</v>
      </c>
      <c r="B201" s="3" t="s">
        <v>495</v>
      </c>
      <c r="C201" s="3" t="s">
        <v>496</v>
      </c>
      <c r="D201" s="3" t="s">
        <v>559</v>
      </c>
      <c r="E201" s="3" t="s">
        <v>560</v>
      </c>
      <c r="F201" s="3" t="s">
        <v>499</v>
      </c>
      <c r="G201" s="3" t="s">
        <v>169</v>
      </c>
      <c r="H201" s="3" t="s">
        <v>27</v>
      </c>
      <c r="I201" s="3" t="s">
        <v>561</v>
      </c>
    </row>
    <row r="202" customFormat="false" ht="21.75" hidden="false" customHeight="true" outlineLevel="0" collapsed="false">
      <c r="A202" s="3" t="n">
        <v>5</v>
      </c>
      <c r="B202" s="3" t="s">
        <v>495</v>
      </c>
      <c r="C202" s="3" t="s">
        <v>496</v>
      </c>
      <c r="D202" s="3" t="s">
        <v>562</v>
      </c>
      <c r="E202" s="3" t="s">
        <v>563</v>
      </c>
      <c r="F202" s="3" t="s">
        <v>499</v>
      </c>
      <c r="G202" s="3" t="s">
        <v>169</v>
      </c>
      <c r="H202" s="3" t="s">
        <v>27</v>
      </c>
      <c r="I202" s="3"/>
    </row>
    <row r="203" customFormat="false" ht="21.75" hidden="false" customHeight="true" outlineLevel="0" collapsed="false">
      <c r="A203" s="3" t="n">
        <v>7</v>
      </c>
      <c r="B203" s="3" t="s">
        <v>495</v>
      </c>
      <c r="C203" s="3" t="s">
        <v>496</v>
      </c>
      <c r="D203" s="3" t="s">
        <v>564</v>
      </c>
      <c r="E203" s="3" t="s">
        <v>565</v>
      </c>
      <c r="F203" s="3" t="s">
        <v>499</v>
      </c>
      <c r="G203" s="3" t="s">
        <v>169</v>
      </c>
      <c r="H203" s="3" t="s">
        <v>27</v>
      </c>
      <c r="I203" s="3"/>
    </row>
    <row r="204" customFormat="false" ht="21.75" hidden="false" customHeight="true" outlineLevel="0" collapsed="false">
      <c r="A204" s="3" t="n">
        <v>9</v>
      </c>
      <c r="B204" s="3" t="s">
        <v>495</v>
      </c>
      <c r="C204" s="3" t="s">
        <v>496</v>
      </c>
      <c r="D204" s="3" t="s">
        <v>566</v>
      </c>
      <c r="E204" s="3" t="s">
        <v>567</v>
      </c>
      <c r="F204" s="3" t="s">
        <v>499</v>
      </c>
      <c r="G204" s="3" t="s">
        <v>169</v>
      </c>
      <c r="H204" s="3" t="s">
        <v>27</v>
      </c>
      <c r="I204" s="3" t="s">
        <v>524</v>
      </c>
    </row>
    <row r="205" customFormat="false" ht="21.75" hidden="false" customHeight="true" outlineLevel="0" collapsed="false">
      <c r="A205" s="3" t="n">
        <v>14</v>
      </c>
      <c r="B205" s="3" t="s">
        <v>495</v>
      </c>
      <c r="C205" s="3" t="s">
        <v>508</v>
      </c>
      <c r="D205" s="3" t="s">
        <v>568</v>
      </c>
      <c r="E205" s="3" t="s">
        <v>569</v>
      </c>
      <c r="F205" s="3" t="s">
        <v>499</v>
      </c>
      <c r="G205" s="3" t="s">
        <v>169</v>
      </c>
      <c r="H205" s="3" t="s">
        <v>27</v>
      </c>
      <c r="I205" s="3" t="s">
        <v>561</v>
      </c>
    </row>
    <row r="206" customFormat="false" ht="21.75" hidden="false" customHeight="true" outlineLevel="0" collapsed="false">
      <c r="A206" s="3" t="n">
        <v>15</v>
      </c>
      <c r="B206" s="3" t="s">
        <v>495</v>
      </c>
      <c r="C206" s="3" t="s">
        <v>508</v>
      </c>
      <c r="D206" s="3" t="s">
        <v>570</v>
      </c>
      <c r="E206" s="3" t="s">
        <v>571</v>
      </c>
      <c r="F206" s="3" t="s">
        <v>499</v>
      </c>
      <c r="G206" s="3" t="s">
        <v>169</v>
      </c>
      <c r="H206" s="3" t="s">
        <v>27</v>
      </c>
      <c r="I206" s="3"/>
    </row>
    <row r="207" customFormat="false" ht="21.75" hidden="false" customHeight="true" outlineLevel="0" collapsed="false">
      <c r="A207" s="3" t="n">
        <v>16</v>
      </c>
      <c r="B207" s="3" t="s">
        <v>495</v>
      </c>
      <c r="C207" s="3" t="s">
        <v>508</v>
      </c>
      <c r="D207" s="3" t="s">
        <v>572</v>
      </c>
      <c r="E207" s="3" t="s">
        <v>573</v>
      </c>
      <c r="F207" s="3" t="s">
        <v>499</v>
      </c>
      <c r="G207" s="3" t="s">
        <v>169</v>
      </c>
      <c r="H207" s="3" t="s">
        <v>27</v>
      </c>
      <c r="I207" s="3"/>
    </row>
    <row r="208" customFormat="false" ht="21.75" hidden="false" customHeight="true" outlineLevel="0" collapsed="false">
      <c r="A208" s="3" t="n">
        <v>19</v>
      </c>
      <c r="B208" s="3" t="s">
        <v>495</v>
      </c>
      <c r="C208" s="3" t="s">
        <v>521</v>
      </c>
      <c r="D208" s="3" t="s">
        <v>574</v>
      </c>
      <c r="E208" s="3" t="s">
        <v>575</v>
      </c>
      <c r="F208" s="3" t="s">
        <v>499</v>
      </c>
      <c r="G208" s="3" t="s">
        <v>169</v>
      </c>
      <c r="H208" s="3" t="s">
        <v>27</v>
      </c>
      <c r="I208" s="3"/>
    </row>
    <row r="209" customFormat="false" ht="21.75" hidden="false" customHeight="true" outlineLevel="0" collapsed="false">
      <c r="A209" s="3" t="n">
        <v>20</v>
      </c>
      <c r="B209" s="3" t="s">
        <v>495</v>
      </c>
      <c r="C209" s="3" t="s">
        <v>521</v>
      </c>
      <c r="D209" s="3" t="s">
        <v>576</v>
      </c>
      <c r="E209" s="3" t="s">
        <v>577</v>
      </c>
      <c r="F209" s="3" t="s">
        <v>499</v>
      </c>
      <c r="G209" s="3" t="s">
        <v>169</v>
      </c>
      <c r="H209" s="3" t="s">
        <v>27</v>
      </c>
      <c r="I209" s="3"/>
    </row>
    <row r="210" customFormat="false" ht="21.75" hidden="false" customHeight="true" outlineLevel="0" collapsed="false">
      <c r="A210" s="3" t="n">
        <v>21</v>
      </c>
      <c r="B210" s="3" t="s">
        <v>495</v>
      </c>
      <c r="C210" s="3" t="s">
        <v>521</v>
      </c>
      <c r="D210" s="3" t="s">
        <v>578</v>
      </c>
      <c r="E210" s="3" t="s">
        <v>579</v>
      </c>
      <c r="F210" s="3" t="s">
        <v>499</v>
      </c>
      <c r="G210" s="3" t="s">
        <v>169</v>
      </c>
      <c r="H210" s="3" t="s">
        <v>27</v>
      </c>
      <c r="I210" s="3" t="s">
        <v>524</v>
      </c>
    </row>
    <row r="211" customFormat="false" ht="21.75" hidden="false" customHeight="true" outlineLevel="0" collapsed="false">
      <c r="A211" s="3" t="n">
        <v>22</v>
      </c>
      <c r="B211" s="3" t="s">
        <v>495</v>
      </c>
      <c r="C211" s="3" t="s">
        <v>521</v>
      </c>
      <c r="D211" s="3" t="s">
        <v>580</v>
      </c>
      <c r="E211" s="3" t="s">
        <v>581</v>
      </c>
      <c r="F211" s="3" t="s">
        <v>499</v>
      </c>
      <c r="G211" s="3" t="s">
        <v>169</v>
      </c>
      <c r="H211" s="3" t="s">
        <v>27</v>
      </c>
      <c r="I211" s="3"/>
    </row>
    <row r="212" customFormat="false" ht="21.75" hidden="false" customHeight="true" outlineLevel="0" collapsed="false">
      <c r="A212" s="3" t="n">
        <v>26</v>
      </c>
      <c r="B212" s="3" t="s">
        <v>495</v>
      </c>
      <c r="C212" s="3" t="s">
        <v>525</v>
      </c>
      <c r="D212" s="3" t="s">
        <v>582</v>
      </c>
      <c r="E212" s="3" t="s">
        <v>583</v>
      </c>
      <c r="F212" s="3" t="s">
        <v>499</v>
      </c>
      <c r="G212" s="3" t="s">
        <v>169</v>
      </c>
      <c r="H212" s="3" t="s">
        <v>27</v>
      </c>
      <c r="I212" s="3" t="s">
        <v>197</v>
      </c>
    </row>
    <row r="213" customFormat="false" ht="21.75" hidden="false" customHeight="true" outlineLevel="0" collapsed="false">
      <c r="A213" s="3" t="n">
        <v>27</v>
      </c>
      <c r="B213" s="3" t="s">
        <v>495</v>
      </c>
      <c r="C213" s="3" t="s">
        <v>525</v>
      </c>
      <c r="D213" s="3" t="s">
        <v>584</v>
      </c>
      <c r="E213" s="3" t="s">
        <v>585</v>
      </c>
      <c r="F213" s="3" t="s">
        <v>499</v>
      </c>
      <c r="G213" s="3" t="s">
        <v>169</v>
      </c>
      <c r="H213" s="3" t="s">
        <v>27</v>
      </c>
      <c r="I213" s="3"/>
    </row>
    <row r="214" customFormat="false" ht="21.75" hidden="false" customHeight="true" outlineLevel="0" collapsed="false">
      <c r="A214" s="3" t="n">
        <v>28</v>
      </c>
      <c r="B214" s="3" t="s">
        <v>495</v>
      </c>
      <c r="C214" s="3" t="s">
        <v>525</v>
      </c>
      <c r="D214" s="3" t="s">
        <v>586</v>
      </c>
      <c r="E214" s="3" t="s">
        <v>587</v>
      </c>
      <c r="F214" s="3" t="s">
        <v>499</v>
      </c>
      <c r="G214" s="3" t="s">
        <v>169</v>
      </c>
      <c r="H214" s="3" t="s">
        <v>27</v>
      </c>
      <c r="I214" s="3"/>
    </row>
    <row r="215" customFormat="false" ht="21.75" hidden="false" customHeight="true" outlineLevel="0" collapsed="false">
      <c r="A215" s="3" t="n">
        <v>30</v>
      </c>
      <c r="B215" s="3" t="s">
        <v>495</v>
      </c>
      <c r="C215" s="3" t="s">
        <v>525</v>
      </c>
      <c r="D215" s="3" t="s">
        <v>588</v>
      </c>
      <c r="E215" s="3" t="s">
        <v>589</v>
      </c>
      <c r="F215" s="3" t="s">
        <v>499</v>
      </c>
      <c r="G215" s="3" t="s">
        <v>169</v>
      </c>
      <c r="H215" s="3" t="s">
        <v>27</v>
      </c>
      <c r="I215" s="3"/>
    </row>
    <row r="216" customFormat="false" ht="21.75" hidden="false" customHeight="true" outlineLevel="0" collapsed="false">
      <c r="A216" s="3" t="n">
        <v>31</v>
      </c>
      <c r="B216" s="3" t="s">
        <v>495</v>
      </c>
      <c r="C216" s="3" t="s">
        <v>525</v>
      </c>
      <c r="D216" s="3" t="s">
        <v>590</v>
      </c>
      <c r="E216" s="3" t="s">
        <v>591</v>
      </c>
      <c r="F216" s="3" t="s">
        <v>499</v>
      </c>
      <c r="G216" s="3" t="s">
        <v>169</v>
      </c>
      <c r="H216" s="3" t="s">
        <v>27</v>
      </c>
      <c r="I216" s="3"/>
    </row>
    <row r="217" customFormat="false" ht="21.75" hidden="false" customHeight="true" outlineLevel="0" collapsed="false">
      <c r="A217" s="3" t="n">
        <v>32</v>
      </c>
      <c r="B217" s="3" t="s">
        <v>495</v>
      </c>
      <c r="C217" s="3" t="s">
        <v>525</v>
      </c>
      <c r="D217" s="3" t="s">
        <v>592</v>
      </c>
      <c r="E217" s="3" t="s">
        <v>593</v>
      </c>
      <c r="F217" s="3" t="s">
        <v>499</v>
      </c>
      <c r="G217" s="3" t="s">
        <v>169</v>
      </c>
      <c r="H217" s="3" t="s">
        <v>27</v>
      </c>
      <c r="I217" s="3" t="s">
        <v>524</v>
      </c>
    </row>
    <row r="218" customFormat="false" ht="21.75" hidden="false" customHeight="true" outlineLevel="0" collapsed="false">
      <c r="A218" s="3" t="n">
        <v>34</v>
      </c>
      <c r="B218" s="3" t="s">
        <v>495</v>
      </c>
      <c r="C218" s="3" t="s">
        <v>535</v>
      </c>
      <c r="D218" s="3" t="s">
        <v>594</v>
      </c>
      <c r="E218" s="3" t="s">
        <v>595</v>
      </c>
      <c r="F218" s="3" t="s">
        <v>499</v>
      </c>
      <c r="G218" s="3" t="s">
        <v>169</v>
      </c>
      <c r="H218" s="3" t="s">
        <v>27</v>
      </c>
      <c r="I218" s="3"/>
    </row>
    <row r="219" customFormat="false" ht="21.75" hidden="false" customHeight="true" outlineLevel="0" collapsed="false">
      <c r="A219" s="3" t="n">
        <v>35</v>
      </c>
      <c r="B219" s="3" t="s">
        <v>495</v>
      </c>
      <c r="C219" s="3" t="s">
        <v>535</v>
      </c>
      <c r="D219" s="3" t="s">
        <v>596</v>
      </c>
      <c r="E219" s="3" t="s">
        <v>597</v>
      </c>
      <c r="F219" s="3" t="s">
        <v>499</v>
      </c>
      <c r="G219" s="3" t="s">
        <v>169</v>
      </c>
      <c r="H219" s="3" t="s">
        <v>27</v>
      </c>
      <c r="I219" s="3"/>
    </row>
    <row r="220" customFormat="false" ht="21.75" hidden="false" customHeight="true" outlineLevel="0" collapsed="false">
      <c r="A220" s="3" t="n">
        <v>36</v>
      </c>
      <c r="B220" s="3" t="s">
        <v>495</v>
      </c>
      <c r="C220" s="3" t="s">
        <v>535</v>
      </c>
      <c r="D220" s="3" t="s">
        <v>598</v>
      </c>
      <c r="E220" s="3" t="s">
        <v>599</v>
      </c>
      <c r="F220" s="3" t="s">
        <v>499</v>
      </c>
      <c r="G220" s="3" t="s">
        <v>169</v>
      </c>
      <c r="H220" s="3" t="s">
        <v>27</v>
      </c>
      <c r="I220" s="3"/>
    </row>
    <row r="221" customFormat="false" ht="21.75" hidden="false" customHeight="true" outlineLevel="0" collapsed="false">
      <c r="A221" s="3" t="n">
        <v>37</v>
      </c>
      <c r="B221" s="3" t="s">
        <v>495</v>
      </c>
      <c r="C221" s="3" t="s">
        <v>535</v>
      </c>
      <c r="D221" s="3" t="s">
        <v>600</v>
      </c>
      <c r="E221" s="3" t="s">
        <v>601</v>
      </c>
      <c r="F221" s="3" t="s">
        <v>499</v>
      </c>
      <c r="G221" s="3" t="s">
        <v>169</v>
      </c>
      <c r="H221" s="3" t="s">
        <v>27</v>
      </c>
      <c r="I221" s="3"/>
    </row>
    <row r="222" customFormat="false" ht="21.75" hidden="false" customHeight="true" outlineLevel="0" collapsed="false">
      <c r="A222" s="3" t="n">
        <v>42</v>
      </c>
      <c r="B222" s="3" t="s">
        <v>495</v>
      </c>
      <c r="C222" s="3" t="s">
        <v>538</v>
      </c>
      <c r="D222" s="3" t="s">
        <v>602</v>
      </c>
      <c r="E222" s="3" t="s">
        <v>603</v>
      </c>
      <c r="F222" s="3" t="s">
        <v>499</v>
      </c>
      <c r="G222" s="3" t="s">
        <v>169</v>
      </c>
      <c r="H222" s="3" t="s">
        <v>27</v>
      </c>
      <c r="I222" s="3"/>
    </row>
    <row r="223" customFormat="false" ht="21.75" hidden="false" customHeight="true" outlineLevel="0" collapsed="false">
      <c r="A223" s="3" t="n">
        <v>43</v>
      </c>
      <c r="B223" s="3" t="s">
        <v>495</v>
      </c>
      <c r="C223" s="3" t="s">
        <v>538</v>
      </c>
      <c r="D223" s="3" t="s">
        <v>604</v>
      </c>
      <c r="E223" s="3" t="s">
        <v>605</v>
      </c>
      <c r="F223" s="3" t="s">
        <v>499</v>
      </c>
      <c r="G223" s="3" t="s">
        <v>169</v>
      </c>
      <c r="H223" s="3" t="s">
        <v>27</v>
      </c>
      <c r="I223" s="3"/>
    </row>
    <row r="224" customFormat="false" ht="21.75" hidden="false" customHeight="true" outlineLevel="0" collapsed="false">
      <c r="A224" s="3" t="n">
        <v>44</v>
      </c>
      <c r="B224" s="3" t="s">
        <v>495</v>
      </c>
      <c r="C224" s="3" t="s">
        <v>538</v>
      </c>
      <c r="D224" s="3" t="s">
        <v>606</v>
      </c>
      <c r="E224" s="3" t="s">
        <v>607</v>
      </c>
      <c r="F224" s="3" t="s">
        <v>499</v>
      </c>
      <c r="G224" s="3" t="s">
        <v>169</v>
      </c>
      <c r="H224" s="3" t="s">
        <v>27</v>
      </c>
      <c r="I224" s="3"/>
    </row>
    <row r="225" customFormat="false" ht="21.75" hidden="false" customHeight="true" outlineLevel="0" collapsed="false">
      <c r="A225" s="3" t="n">
        <v>45</v>
      </c>
      <c r="B225" s="3" t="s">
        <v>495</v>
      </c>
      <c r="C225" s="3" t="s">
        <v>538</v>
      </c>
      <c r="D225" s="3" t="s">
        <v>608</v>
      </c>
      <c r="E225" s="3" t="s">
        <v>609</v>
      </c>
      <c r="F225" s="3" t="s">
        <v>499</v>
      </c>
      <c r="G225" s="3" t="s">
        <v>169</v>
      </c>
      <c r="H225" s="3" t="s">
        <v>27</v>
      </c>
      <c r="I225" s="3"/>
    </row>
    <row r="226" customFormat="false" ht="21.75" hidden="false" customHeight="true" outlineLevel="0" collapsed="false">
      <c r="A226" s="3" t="n">
        <v>49</v>
      </c>
      <c r="B226" s="3" t="s">
        <v>495</v>
      </c>
      <c r="C226" s="3" t="s">
        <v>547</v>
      </c>
      <c r="D226" s="3" t="s">
        <v>610</v>
      </c>
      <c r="E226" s="3" t="s">
        <v>611</v>
      </c>
      <c r="F226" s="3" t="s">
        <v>499</v>
      </c>
      <c r="G226" s="3" t="s">
        <v>169</v>
      </c>
      <c r="H226" s="3" t="s">
        <v>27</v>
      </c>
      <c r="I226" s="3"/>
    </row>
    <row r="227" customFormat="false" ht="21.75" hidden="false" customHeight="true" outlineLevel="0" collapsed="false">
      <c r="A227" s="3" t="n">
        <v>50</v>
      </c>
      <c r="B227" s="3" t="s">
        <v>495</v>
      </c>
      <c r="C227" s="3" t="s">
        <v>547</v>
      </c>
      <c r="D227" s="3" t="s">
        <v>612</v>
      </c>
      <c r="E227" s="3" t="s">
        <v>613</v>
      </c>
      <c r="F227" s="3" t="s">
        <v>499</v>
      </c>
      <c r="G227" s="3" t="s">
        <v>169</v>
      </c>
      <c r="H227" s="3" t="s">
        <v>27</v>
      </c>
      <c r="I227" s="3"/>
    </row>
    <row r="228" customFormat="false" ht="21.75" hidden="false" customHeight="true" outlineLevel="0" collapsed="false">
      <c r="A228" s="3" t="n">
        <v>51</v>
      </c>
      <c r="B228" s="3" t="s">
        <v>495</v>
      </c>
      <c r="C228" s="3" t="s">
        <v>547</v>
      </c>
      <c r="D228" s="3" t="s">
        <v>614</v>
      </c>
      <c r="E228" s="3" t="s">
        <v>615</v>
      </c>
      <c r="F228" s="3" t="s">
        <v>499</v>
      </c>
      <c r="G228" s="3" t="s">
        <v>169</v>
      </c>
      <c r="H228" s="3" t="s">
        <v>27</v>
      </c>
      <c r="I228" s="3"/>
    </row>
    <row r="229" customFormat="false" ht="21.75" hidden="false" customHeight="true" outlineLevel="0" collapsed="false">
      <c r="A229" s="3" t="n">
        <v>52</v>
      </c>
      <c r="B229" s="3" t="s">
        <v>495</v>
      </c>
      <c r="C229" s="3" t="s">
        <v>547</v>
      </c>
      <c r="D229" s="3" t="s">
        <v>616</v>
      </c>
      <c r="E229" s="3" t="s">
        <v>617</v>
      </c>
      <c r="F229" s="3" t="s">
        <v>499</v>
      </c>
      <c r="G229" s="3" t="s">
        <v>169</v>
      </c>
      <c r="H229" s="3" t="s">
        <v>27</v>
      </c>
      <c r="I229" s="3"/>
    </row>
    <row r="230" customFormat="false" ht="21.75" hidden="false" customHeight="true" outlineLevel="0" collapsed="false">
      <c r="A230" s="3" t="n">
        <v>55</v>
      </c>
      <c r="B230" s="3" t="s">
        <v>495</v>
      </c>
      <c r="C230" s="3" t="s">
        <v>554</v>
      </c>
      <c r="D230" s="3" t="s">
        <v>618</v>
      </c>
      <c r="E230" s="3" t="s">
        <v>619</v>
      </c>
      <c r="F230" s="3" t="s">
        <v>499</v>
      </c>
      <c r="G230" s="3" t="s">
        <v>169</v>
      </c>
      <c r="H230" s="3" t="s">
        <v>27</v>
      </c>
      <c r="I230" s="3"/>
    </row>
    <row r="231" customFormat="false" ht="21.75" hidden="false" customHeight="true" outlineLevel="0" collapsed="false">
      <c r="A231" s="3" t="n">
        <v>56</v>
      </c>
      <c r="B231" s="3" t="s">
        <v>495</v>
      </c>
      <c r="C231" s="3" t="s">
        <v>554</v>
      </c>
      <c r="D231" s="3" t="s">
        <v>620</v>
      </c>
      <c r="E231" s="3" t="s">
        <v>621</v>
      </c>
      <c r="F231" s="3" t="s">
        <v>499</v>
      </c>
      <c r="G231" s="3" t="s">
        <v>169</v>
      </c>
      <c r="H231" s="3" t="s">
        <v>27</v>
      </c>
      <c r="I231" s="3"/>
    </row>
    <row r="232" customFormat="false" ht="21.75" hidden="false" customHeight="true" outlineLevel="0" collapsed="false">
      <c r="A232" s="3" t="n">
        <v>57</v>
      </c>
      <c r="B232" s="3" t="s">
        <v>495</v>
      </c>
      <c r="C232" s="3" t="s">
        <v>554</v>
      </c>
      <c r="D232" s="3" t="s">
        <v>622</v>
      </c>
      <c r="E232" s="3" t="s">
        <v>623</v>
      </c>
      <c r="F232" s="3" t="s">
        <v>499</v>
      </c>
      <c r="G232" s="3" t="s">
        <v>169</v>
      </c>
      <c r="H232" s="3" t="s">
        <v>27</v>
      </c>
      <c r="I232" s="3"/>
    </row>
  </sheetData>
  <autoFilter ref="A1:I232">
    <sortState ref="A2:I232">
      <sortCondition ref="A2:A232" customList=""/>
    </sortState>
  </autoFilter>
  <conditionalFormatting sqref="H98:H102">
    <cfRule type="cellIs" priority="2" operator="equal" aboveAverage="0" equalAverage="0" bottom="0" percent="0" rank="0" text="" dxfId="8">
      <formula>"Shipped"</formula>
    </cfRule>
  </conditionalFormatting>
  <conditionalFormatting sqref="G2:G97"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conditionalFormatting sqref="H2:H97">
    <cfRule type="cellIs" priority="6" operator="equal" aboveAverage="0" equalAverage="0" bottom="0" percent="0" rank="0" text="" dxfId="8">
      <formula>"Shipped"</formula>
    </cfRule>
  </conditionalFormatting>
  <conditionalFormatting sqref="G98:G154">
    <cfRule type="cellIs" priority="7" operator="equal" aboveAverage="0" equalAverage="0" bottom="0" percent="0" rank="0" text="" dxfId="9">
      <formula>"High"</formula>
    </cfRule>
    <cfRule type="cellIs" priority="8" operator="equal" aboveAverage="0" equalAverage="0" bottom="0" percent="0" rank="0" text="" dxfId="10">
      <formula>"Medium"</formula>
    </cfRule>
    <cfRule type="cellIs" priority="9" operator="equal" aboveAverage="0" equalAverage="0" bottom="0" percent="0" rank="0" text="" dxfId="11">
      <formula>"Low"</formula>
    </cfRule>
  </conditionalFormatting>
  <conditionalFormatting sqref="H103:H154">
    <cfRule type="cellIs" priority="10" operator="equal" aboveAverage="0" equalAverage="0" bottom="0" percent="0" rank="0" text="" dxfId="8">
      <formula>"Shipped"</formula>
    </cfRule>
  </conditionalFormatting>
  <conditionalFormatting sqref="G155:G192">
    <cfRule type="cellIs" priority="11" operator="equal" aboveAverage="0" equalAverage="0" bottom="0" percent="0" rank="0" text="" dxfId="9">
      <formula>"High"</formula>
    </cfRule>
    <cfRule type="cellIs" priority="12" operator="equal" aboveAverage="0" equalAverage="0" bottom="0" percent="0" rank="0" text="" dxfId="10">
      <formula>"Medium"</formula>
    </cfRule>
    <cfRule type="cellIs" priority="13" operator="equal" aboveAverage="0" equalAverage="0" bottom="0" percent="0" rank="0" text="" dxfId="11">
      <formula>"Low"</formula>
    </cfRule>
  </conditionalFormatting>
  <conditionalFormatting sqref="H155:H192">
    <cfRule type="cellIs" priority="14" operator="equal" aboveAverage="0" equalAverage="0" bottom="0" percent="0" rank="0" text="" dxfId="8">
      <formula>"Shipped"</formula>
    </cfRule>
  </conditionalFormatting>
  <conditionalFormatting sqref="G193:G232">
    <cfRule type="cellIs" priority="15" operator="equal" aboveAverage="0" equalAverage="0" bottom="0" percent="0" rank="0" text="" dxfId="9">
      <formula>"High"</formula>
    </cfRule>
    <cfRule type="cellIs" priority="16" operator="equal" aboveAverage="0" equalAverage="0" bottom="0" percent="0" rank="0" text="" dxfId="10">
      <formula>"Medium"</formula>
    </cfRule>
    <cfRule type="cellIs" priority="17" operator="equal" aboveAverage="0" equalAverage="0" bottom="0" percent="0" rank="0" text="" dxfId="11">
      <formula>"Low"</formula>
    </cfRule>
  </conditionalFormatting>
  <conditionalFormatting sqref="H193:H232">
    <cfRule type="cellIs" priority="18" operator="equal" aboveAverage="0" equalAverage="0" bottom="0" percent="0" rank="0" text="" dxfId="8">
      <formula>"Shipped"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28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624</v>
      </c>
      <c r="D1" s="2" t="s">
        <v>15</v>
      </c>
      <c r="E1" s="2" t="s">
        <v>625</v>
      </c>
      <c r="F1" s="2" t="s">
        <v>626</v>
      </c>
    </row>
    <row r="2" customFormat="false" ht="15" hidden="false" customHeight="true" outlineLevel="0" collapsed="false">
      <c r="A2" s="5" t="s">
        <v>9</v>
      </c>
      <c r="B2" s="5" t="s">
        <v>10</v>
      </c>
      <c r="C2" s="5" t="n">
        <f aca="false">COUNTIFS(Backlog!B:B,"DifficultTalkCoach",Backlog!C:C,"Upward")</f>
        <v>14</v>
      </c>
      <c r="D2" s="5" t="n">
        <f aca="false">COUNTIFS(Backlog!B:B,"DifficultTalkCoach",Backlog!C:C,"Upward",Backlog!H:H,"Shipped")</f>
        <v>5</v>
      </c>
      <c r="E2" s="5" t="n">
        <f aca="false">COUNTIFS(Backlog!B:B,"DifficultTalkCoach",Backlog!C:C,"Upward",Backlog!H:H,"Candidate")</f>
        <v>9</v>
      </c>
      <c r="F2" s="5" t="n">
        <f aca="false">COUNTIFS(Backlog!B:B,"DifficultTalkCoach",Backlog!C:C,"Upward",Backlog!G:G,"High",Backlog!H:H,"Candidate")</f>
        <v>4</v>
      </c>
    </row>
    <row r="3" customFormat="false" ht="15" hidden="false" customHeight="true" outlineLevel="0" collapsed="false">
      <c r="A3" s="5" t="s">
        <v>9</v>
      </c>
      <c r="B3" s="5" t="s">
        <v>38</v>
      </c>
      <c r="C3" s="5" t="n">
        <f aca="false">COUNTIFS(Backlog!B:B,"DifficultTalkCoach",Backlog!C:C,"Lateral")</f>
        <v>14</v>
      </c>
      <c r="D3" s="5" t="n">
        <f aca="false">COUNTIFS(Backlog!B:B,"DifficultTalkCoach",Backlog!C:C,"Lateral",Backlog!H:H,"Shipped")</f>
        <v>0</v>
      </c>
      <c r="E3" s="5" t="n">
        <f aca="false">COUNTIFS(Backlog!B:B,"DifficultTalkCoach",Backlog!C:C,"Lateral",Backlog!H:H,"Candidate")</f>
        <v>14</v>
      </c>
      <c r="F3" s="5" t="n">
        <f aca="false">COUNTIFS(Backlog!B:B,"DifficultTalkCoach",Backlog!C:C,"Lateral",Backlog!G:G,"High",Backlog!H:H,"Candidate")</f>
        <v>6</v>
      </c>
    </row>
    <row r="4" customFormat="false" ht="15" hidden="false" customHeight="true" outlineLevel="0" collapsed="false">
      <c r="A4" s="5" t="s">
        <v>9</v>
      </c>
      <c r="B4" s="5" t="s">
        <v>57</v>
      </c>
      <c r="C4" s="5" t="n">
        <f aca="false">COUNTIFS(Backlog!B:B,"DifficultTalkCoach",Backlog!C:C,"Downward")</f>
        <v>10</v>
      </c>
      <c r="D4" s="5" t="n">
        <f aca="false">COUNTIFS(Backlog!B:B,"DifficultTalkCoach",Backlog!C:C,"Downward",Backlog!H:H,"Shipped")</f>
        <v>0</v>
      </c>
      <c r="E4" s="5" t="n">
        <f aca="false">COUNTIFS(Backlog!B:B,"DifficultTalkCoach",Backlog!C:C,"Downward",Backlog!H:H,"Candidate")</f>
        <v>10</v>
      </c>
      <c r="F4" s="5" t="n">
        <f aca="false">COUNTIFS(Backlog!B:B,"DifficultTalkCoach",Backlog!C:C,"Downward",Backlog!G:G,"High",Backlog!H:H,"Candidate")</f>
        <v>4</v>
      </c>
    </row>
    <row r="5" customFormat="false" ht="15" hidden="false" customHeight="true" outlineLevel="0" collapsed="false">
      <c r="A5" s="5" t="s">
        <v>9</v>
      </c>
      <c r="B5" s="5" t="s">
        <v>70</v>
      </c>
      <c r="C5" s="5" t="n">
        <f aca="false">COUNTIFS(Backlog!B:B,"DifficultTalkCoach",Backlog!C:C,"Partner")</f>
        <v>13</v>
      </c>
      <c r="D5" s="5" t="n">
        <f aca="false">COUNTIFS(Backlog!B:B,"DifficultTalkCoach",Backlog!C:C,"Partner",Backlog!H:H,"Shipped")</f>
        <v>0</v>
      </c>
      <c r="E5" s="5" t="n">
        <f aca="false">COUNTIFS(Backlog!B:B,"DifficultTalkCoach",Backlog!C:C,"Partner",Backlog!H:H,"Candidate")</f>
        <v>13</v>
      </c>
      <c r="F5" s="5" t="n">
        <f aca="false">COUNTIFS(Backlog!B:B,"DifficultTalkCoach",Backlog!C:C,"Partner",Backlog!G:G,"High",Backlog!H:H,"Candidate")</f>
        <v>5</v>
      </c>
    </row>
    <row r="6" customFormat="false" ht="15" hidden="false" customHeight="true" outlineLevel="0" collapsed="false">
      <c r="A6" s="5" t="s">
        <v>9</v>
      </c>
      <c r="B6" s="5" t="s">
        <v>87</v>
      </c>
      <c r="C6" s="5" t="n">
        <f aca="false">COUNTIFS(Backlog!B:B,"DifficultTalkCoach",Backlog!C:C,"Family")</f>
        <v>12</v>
      </c>
      <c r="D6" s="5" t="n">
        <f aca="false">COUNTIFS(Backlog!B:B,"DifficultTalkCoach",Backlog!C:C,"Family",Backlog!H:H,"Shipped")</f>
        <v>0</v>
      </c>
      <c r="E6" s="5" t="n">
        <f aca="false">COUNTIFS(Backlog!B:B,"DifficultTalkCoach",Backlog!C:C,"Family",Backlog!H:H,"Candidate")</f>
        <v>12</v>
      </c>
      <c r="F6" s="5" t="n">
        <f aca="false">COUNTIFS(Backlog!B:B,"DifficultTalkCoach",Backlog!C:C,"Family",Backlog!G:G,"High",Backlog!H:H,"Candidate")</f>
        <v>4</v>
      </c>
    </row>
    <row r="7" customFormat="false" ht="15" hidden="false" customHeight="true" outlineLevel="0" collapsed="false">
      <c r="A7" s="5" t="s">
        <v>9</v>
      </c>
      <c r="B7" s="5" t="s">
        <v>100</v>
      </c>
      <c r="C7" s="5" t="n">
        <f aca="false">COUNTIFS(Backlog!B:B,"DifficultTalkCoach",Backlog!C:C,"Friends")</f>
        <v>9</v>
      </c>
      <c r="D7" s="5" t="n">
        <f aca="false">COUNTIFS(Backlog!B:B,"DifficultTalkCoach",Backlog!C:C,"Friends",Backlog!H:H,"Shipped")</f>
        <v>0</v>
      </c>
      <c r="E7" s="5" t="n">
        <f aca="false">COUNTIFS(Backlog!B:B,"DifficultTalkCoach",Backlog!C:C,"Friends",Backlog!H:H,"Candidate")</f>
        <v>9</v>
      </c>
      <c r="F7" s="5" t="n">
        <f aca="false">COUNTIFS(Backlog!B:B,"DifficultTalkCoach",Backlog!C:C,"Friends",Backlog!G:G,"High",Backlog!H:H,"Candidate")</f>
        <v>4</v>
      </c>
    </row>
    <row r="8" customFormat="false" ht="15" hidden="false" customHeight="true" outlineLevel="0" collapsed="false">
      <c r="A8" s="5" t="s">
        <v>9</v>
      </c>
      <c r="B8" s="5" t="s">
        <v>113</v>
      </c>
      <c r="C8" s="5" t="n">
        <f aca="false">COUNTIFS(Backlog!B:B,"DifficultTalkCoach",Backlog!C:C,"Hard news")</f>
        <v>6</v>
      </c>
      <c r="D8" s="5" t="n">
        <f aca="false">COUNTIFS(Backlog!B:B,"DifficultTalkCoach",Backlog!C:C,"Hard news",Backlog!H:H,"Shipped")</f>
        <v>0</v>
      </c>
      <c r="E8" s="5" t="n">
        <f aca="false">COUNTIFS(Backlog!B:B,"DifficultTalkCoach",Backlog!C:C,"Hard news",Backlog!H:H,"Candidate")</f>
        <v>6</v>
      </c>
      <c r="F8" s="5" t="n">
        <f aca="false">COUNTIFS(Backlog!B:B,"DifficultTalkCoach",Backlog!C:C,"Hard news",Backlog!G:G,"High",Backlog!H:H,"Candidate")</f>
        <v>3</v>
      </c>
    </row>
    <row r="9" customFormat="false" ht="15" hidden="false" customHeight="true" outlineLevel="0" collapsed="false">
      <c r="A9" s="5" t="s">
        <v>9</v>
      </c>
      <c r="B9" s="5" t="s">
        <v>121</v>
      </c>
      <c r="C9" s="5" t="n">
        <f aca="false">COUNTIFS(Backlog!B:B,"DifficultTalkCoach",Backlog!C:C,"Asking")</f>
        <v>7</v>
      </c>
      <c r="D9" s="5" t="n">
        <f aca="false">COUNTIFS(Backlog!B:B,"DifficultTalkCoach",Backlog!C:C,"Asking",Backlog!H:H,"Shipped")</f>
        <v>0</v>
      </c>
      <c r="E9" s="5" t="n">
        <f aca="false">COUNTIFS(Backlog!B:B,"DifficultTalkCoach",Backlog!C:C,"Asking",Backlog!H:H,"Candidate")</f>
        <v>7</v>
      </c>
      <c r="F9" s="5" t="n">
        <f aca="false">COUNTIFS(Backlog!B:B,"DifficultTalkCoach",Backlog!C:C,"Asking",Backlog!G:G,"High",Backlog!H:H,"Candidate")</f>
        <v>4</v>
      </c>
    </row>
    <row r="10" customFormat="false" ht="15" hidden="false" customHeight="true" outlineLevel="0" collapsed="false">
      <c r="A10" s="5" t="s">
        <v>9</v>
      </c>
      <c r="B10" s="5" t="s">
        <v>134</v>
      </c>
      <c r="C10" s="5" t="n">
        <f aca="false">COUNTIFS(Backlog!B:B,"DifficultTalkCoach",Backlog!C:C,"Saying no")</f>
        <v>6</v>
      </c>
      <c r="D10" s="5" t="n">
        <f aca="false">COUNTIFS(Backlog!B:B,"DifficultTalkCoach",Backlog!C:C,"Saying no",Backlog!H:H,"Shipped")</f>
        <v>0</v>
      </c>
      <c r="E10" s="5" t="n">
        <f aca="false">COUNTIFS(Backlog!B:B,"DifficultTalkCoach",Backlog!C:C,"Saying no",Backlog!H:H,"Candidate")</f>
        <v>6</v>
      </c>
      <c r="F10" s="5" t="n">
        <f aca="false">COUNTIFS(Backlog!B:B,"DifficultTalkCoach",Backlog!C:C,"Saying no",Backlog!G:G,"High",Backlog!H:H,"Candidate")</f>
        <v>3</v>
      </c>
    </row>
    <row r="11" customFormat="false" ht="15" hidden="false" customHeight="true" outlineLevel="0" collapsed="false">
      <c r="A11" s="5" t="s">
        <v>9</v>
      </c>
      <c r="B11" s="5" t="s">
        <v>144</v>
      </c>
      <c r="C11" s="5" t="n">
        <f aca="false">COUNTIFS(Backlog!B:B,"DifficultTalkCoach",Backlog!C:C,"Apology")</f>
        <v>5</v>
      </c>
      <c r="D11" s="5" t="n">
        <f aca="false">COUNTIFS(Backlog!B:B,"DifficultTalkCoach",Backlog!C:C,"Apology",Backlog!H:H,"Shipped")</f>
        <v>0</v>
      </c>
      <c r="E11" s="5" t="n">
        <f aca="false">COUNTIFS(Backlog!B:B,"DifficultTalkCoach",Backlog!C:C,"Apology",Backlog!H:H,"Candidate")</f>
        <v>5</v>
      </c>
      <c r="F11" s="5" t="n">
        <f aca="false">COUNTIFS(Backlog!B:B,"DifficultTalkCoach",Backlog!C:C,"Apology",Backlog!G:G,"High",Backlog!H:H,"Candidate")</f>
        <v>1</v>
      </c>
    </row>
    <row r="12" customFormat="false" ht="15" hidden="false" customHeight="true" outlineLevel="0" collapsed="false">
      <c r="A12" s="5" t="s">
        <v>495</v>
      </c>
      <c r="B12" s="5" t="s">
        <v>496</v>
      </c>
      <c r="C12" s="5" t="n">
        <f aca="false">COUNTIFS(Backlog!B:B,"UpsellShield",Backlog!C:C,"Cars")</f>
        <v>9</v>
      </c>
      <c r="D12" s="5" t="n">
        <f aca="false">COUNTIFS(Backlog!B:B,"UpsellShield",Backlog!C:C,"Cars",Backlog!H:H,"Shipped")</f>
        <v>0</v>
      </c>
      <c r="E12" s="5" t="n">
        <f aca="false">COUNTIFS(Backlog!B:B,"UpsellShield",Backlog!C:C,"Cars",Backlog!H:H,"Candidate")</f>
        <v>9</v>
      </c>
      <c r="F12" s="5" t="n">
        <f aca="false">COUNTIFS(Backlog!B:B,"UpsellShield",Backlog!C:C,"Cars",Backlog!G:G,"High",Backlog!H:H,"Candidate")</f>
        <v>5</v>
      </c>
    </row>
    <row r="13" customFormat="false" ht="15" hidden="false" customHeight="true" outlineLevel="0" collapsed="false">
      <c r="A13" s="5" t="s">
        <v>495</v>
      </c>
      <c r="B13" s="5" t="s">
        <v>508</v>
      </c>
      <c r="C13" s="5" t="n">
        <f aca="false">COUNTIFS(Backlog!B:B,"UpsellShield",Backlog!C:C,"Subscriptions")</f>
        <v>8</v>
      </c>
      <c r="D13" s="5" t="n">
        <f aca="false">COUNTIFS(Backlog!B:B,"UpsellShield",Backlog!C:C,"Subscriptions",Backlog!H:H,"Shipped")</f>
        <v>0</v>
      </c>
      <c r="E13" s="5" t="n">
        <f aca="false">COUNTIFS(Backlog!B:B,"UpsellShield",Backlog!C:C,"Subscriptions",Backlog!H:H,"Candidate")</f>
        <v>8</v>
      </c>
      <c r="F13" s="5" t="n">
        <f aca="false">COUNTIFS(Backlog!B:B,"UpsellShield",Backlog!C:C,"Subscriptions",Backlog!G:G,"High",Backlog!H:H,"Candidate")</f>
        <v>5</v>
      </c>
    </row>
    <row r="14" customFormat="false" ht="15" hidden="false" customHeight="true" outlineLevel="0" collapsed="false">
      <c r="A14" s="5" t="s">
        <v>495</v>
      </c>
      <c r="B14" s="5" t="s">
        <v>521</v>
      </c>
      <c r="C14" s="5" t="n">
        <f aca="false">COUNTIFS(Backlog!B:B,"UpsellShield",Backlog!C:C,"Services")</f>
        <v>5</v>
      </c>
      <c r="D14" s="5" t="n">
        <f aca="false">COUNTIFS(Backlog!B:B,"UpsellShield",Backlog!C:C,"Services",Backlog!H:H,"Shipped")</f>
        <v>0</v>
      </c>
      <c r="E14" s="5" t="n">
        <f aca="false">COUNTIFS(Backlog!B:B,"UpsellShield",Backlog!C:C,"Services",Backlog!H:H,"Candidate")</f>
        <v>5</v>
      </c>
      <c r="F14" s="5" t="n">
        <f aca="false">COUNTIFS(Backlog!B:B,"UpsellShield",Backlog!C:C,"Services",Backlog!G:G,"High",Backlog!H:H,"Candidate")</f>
        <v>1</v>
      </c>
    </row>
    <row r="15" customFormat="false" ht="15" hidden="false" customHeight="true" outlineLevel="0" collapsed="false">
      <c r="A15" s="5" t="s">
        <v>495</v>
      </c>
      <c r="B15" s="5" t="s">
        <v>525</v>
      </c>
      <c r="C15" s="5" t="n">
        <f aca="false">COUNTIFS(Backlog!B:B,"UpsellShield",Backlog!C:C,"Pressure")</f>
        <v>10</v>
      </c>
      <c r="D15" s="5" t="n">
        <f aca="false">COUNTIFS(Backlog!B:B,"UpsellShield",Backlog!C:C,"Pressure",Backlog!H:H,"Shipped")</f>
        <v>0</v>
      </c>
      <c r="E15" s="5" t="n">
        <f aca="false">COUNTIFS(Backlog!B:B,"UpsellShield",Backlog!C:C,"Pressure",Backlog!H:H,"Candidate")</f>
        <v>10</v>
      </c>
      <c r="F15" s="5" t="n">
        <f aca="false">COUNTIFS(Backlog!B:B,"UpsellShield",Backlog!C:C,"Pressure",Backlog!G:G,"High",Backlog!H:H,"Candidate")</f>
        <v>4</v>
      </c>
    </row>
    <row r="16" customFormat="false" ht="15" hidden="false" customHeight="true" outlineLevel="0" collapsed="false">
      <c r="A16" s="5" t="s">
        <v>495</v>
      </c>
      <c r="B16" s="5" t="s">
        <v>535</v>
      </c>
      <c r="C16" s="5" t="n">
        <f aca="false">COUNTIFS(Backlog!B:B,"UpsellShield",Backlog!C:C,"Dark patterns")</f>
        <v>5</v>
      </c>
      <c r="D16" s="5" t="n">
        <f aca="false">COUNTIFS(Backlog!B:B,"UpsellShield",Backlog!C:C,"Dark patterns",Backlog!H:H,"Shipped")</f>
        <v>0</v>
      </c>
      <c r="E16" s="5" t="n">
        <f aca="false">COUNTIFS(Backlog!B:B,"UpsellShield",Backlog!C:C,"Dark patterns",Backlog!H:H,"Candidate")</f>
        <v>5</v>
      </c>
      <c r="F16" s="5" t="n">
        <f aca="false">COUNTIFS(Backlog!B:B,"UpsellShield",Backlog!C:C,"Dark patterns",Backlog!G:G,"High",Backlog!H:H,"Candidate")</f>
        <v>1</v>
      </c>
    </row>
    <row r="17" customFormat="false" ht="15" hidden="false" customHeight="true" outlineLevel="0" collapsed="false">
      <c r="A17" s="5" t="s">
        <v>495</v>
      </c>
      <c r="B17" s="5" t="s">
        <v>538</v>
      </c>
      <c r="C17" s="5" t="n">
        <f aca="false">COUNTIFS(Backlog!B:B,"UpsellShield",Backlog!C:C,"Financial")</f>
        <v>8</v>
      </c>
      <c r="D17" s="5" t="n">
        <f aca="false">COUNTIFS(Backlog!B:B,"UpsellShield",Backlog!C:C,"Financial",Backlog!H:H,"Shipped")</f>
        <v>0</v>
      </c>
      <c r="E17" s="5" t="n">
        <f aca="false">COUNTIFS(Backlog!B:B,"UpsellShield",Backlog!C:C,"Financial",Backlog!H:H,"Candidate")</f>
        <v>8</v>
      </c>
      <c r="F17" s="5" t="n">
        <f aca="false">COUNTIFS(Backlog!B:B,"UpsellShield",Backlog!C:C,"Financial",Backlog!G:G,"High",Backlog!H:H,"Candidate")</f>
        <v>4</v>
      </c>
    </row>
    <row r="18" customFormat="false" ht="15" hidden="false" customHeight="true" outlineLevel="0" collapsed="false">
      <c r="A18" s="5" t="s">
        <v>495</v>
      </c>
      <c r="B18" s="5" t="s">
        <v>547</v>
      </c>
      <c r="C18" s="5" t="n">
        <f aca="false">COUNTIFS(Backlog!B:B,"UpsellShield",Backlog!C:C,"Tactics")</f>
        <v>7</v>
      </c>
      <c r="D18" s="5" t="n">
        <f aca="false">COUNTIFS(Backlog!B:B,"UpsellShield",Backlog!C:C,"Tactics",Backlog!H:H,"Shipped")</f>
        <v>0</v>
      </c>
      <c r="E18" s="5" t="n">
        <f aca="false">COUNTIFS(Backlog!B:B,"UpsellShield",Backlog!C:C,"Tactics",Backlog!H:H,"Candidate")</f>
        <v>7</v>
      </c>
      <c r="F18" s="5" t="n">
        <f aca="false">COUNTIFS(Backlog!B:B,"UpsellShield",Backlog!C:C,"Tactics",Backlog!G:G,"High",Backlog!H:H,"Candidate")</f>
        <v>3</v>
      </c>
    </row>
    <row r="19" customFormat="false" ht="15" hidden="false" customHeight="true" outlineLevel="0" collapsed="false">
      <c r="A19" s="5" t="s">
        <v>495</v>
      </c>
      <c r="B19" s="5" t="s">
        <v>554</v>
      </c>
      <c r="C19" s="5" t="n">
        <f aca="false">COUNTIFS(Backlog!B:B,"UpsellShield",Backlog!C:C,"Recovery")</f>
        <v>5</v>
      </c>
      <c r="D19" s="5" t="n">
        <f aca="false">COUNTIFS(Backlog!B:B,"UpsellShield",Backlog!C:C,"Recovery",Backlog!H:H,"Shipped")</f>
        <v>0</v>
      </c>
      <c r="E19" s="5" t="n">
        <f aca="false">COUNTIFS(Backlog!B:B,"UpsellShield",Backlog!C:C,"Recovery",Backlog!H:H,"Candidate")</f>
        <v>5</v>
      </c>
      <c r="F19" s="5" t="n">
        <f aca="false">COUNTIFS(Backlog!B:B,"UpsellShield",Backlog!C:C,"Recovery",Backlog!G:G,"High",Backlog!H:H,"Candidate")</f>
        <v>2</v>
      </c>
    </row>
    <row r="20" customFormat="false" ht="15" hidden="false" customHeight="true" outlineLevel="0" collapsed="false">
      <c r="A20" s="5" t="s">
        <v>403</v>
      </c>
      <c r="B20" s="5" t="s">
        <v>404</v>
      </c>
      <c r="C20" s="5" t="n">
        <f aca="false">COUNTIFS(Backlog!B:B,"LeaseTrapDetector",Backlog!C:C,"Pre-signing")</f>
        <v>7</v>
      </c>
      <c r="D20" s="5" t="n">
        <f aca="false">COUNTIFS(Backlog!B:B,"LeaseTrapDetector",Backlog!C:C,"Pre-signing",Backlog!H:H,"Shipped")</f>
        <v>0</v>
      </c>
      <c r="E20" s="5" t="n">
        <f aca="false">COUNTIFS(Backlog!B:B,"LeaseTrapDetector",Backlog!C:C,"Pre-signing",Backlog!H:H,"Candidate")</f>
        <v>7</v>
      </c>
      <c r="F20" s="5" t="n">
        <f aca="false">COUNTIFS(Backlog!B:B,"LeaseTrapDetector",Backlog!C:C,"Pre-signing",Backlog!G:G,"High",Backlog!H:H,"Candidate")</f>
        <v>4</v>
      </c>
    </row>
    <row r="21" customFormat="false" ht="15" hidden="false" customHeight="true" outlineLevel="0" collapsed="false">
      <c r="A21" s="5" t="s">
        <v>403</v>
      </c>
      <c r="B21" s="5" t="s">
        <v>416</v>
      </c>
      <c r="C21" s="5" t="n">
        <f aca="false">COUNTIFS(Backlog!B:B,"LeaseTrapDetector",Backlog!C:C,"Clauses")</f>
        <v>7</v>
      </c>
      <c r="D21" s="5" t="n">
        <f aca="false">COUNTIFS(Backlog!B:B,"LeaseTrapDetector",Backlog!C:C,"Clauses",Backlog!H:H,"Shipped")</f>
        <v>0</v>
      </c>
      <c r="E21" s="5" t="n">
        <f aca="false">COUNTIFS(Backlog!B:B,"LeaseTrapDetector",Backlog!C:C,"Clauses",Backlog!H:H,"Candidate")</f>
        <v>7</v>
      </c>
      <c r="F21" s="5" t="n">
        <f aca="false">COUNTIFS(Backlog!B:B,"LeaseTrapDetector",Backlog!C:C,"Clauses",Backlog!G:G,"High",Backlog!H:H,"Candidate")</f>
        <v>1</v>
      </c>
    </row>
    <row r="22" customFormat="false" ht="15" hidden="false" customHeight="true" outlineLevel="0" collapsed="false">
      <c r="A22" s="5" t="s">
        <v>403</v>
      </c>
      <c r="B22" s="5" t="s">
        <v>420</v>
      </c>
      <c r="C22" s="5" t="n">
        <f aca="false">COUNTIFS(Backlog!B:B,"LeaseTrapDetector",Backlog!C:C,"Negotiation")</f>
        <v>6</v>
      </c>
      <c r="D22" s="5" t="n">
        <f aca="false">COUNTIFS(Backlog!B:B,"LeaseTrapDetector",Backlog!C:C,"Negotiation",Backlog!H:H,"Shipped")</f>
        <v>0</v>
      </c>
      <c r="E22" s="5" t="n">
        <f aca="false">COUNTIFS(Backlog!B:B,"LeaseTrapDetector",Backlog!C:C,"Negotiation",Backlog!H:H,"Candidate")</f>
        <v>6</v>
      </c>
      <c r="F22" s="5" t="n">
        <f aca="false">COUNTIFS(Backlog!B:B,"LeaseTrapDetector",Backlog!C:C,"Negotiation",Backlog!G:G,"High",Backlog!H:H,"Candidate")</f>
        <v>1</v>
      </c>
    </row>
    <row r="23" customFormat="false" ht="15" hidden="false" customHeight="true" outlineLevel="0" collapsed="false">
      <c r="A23" s="5" t="s">
        <v>403</v>
      </c>
      <c r="B23" s="5" t="s">
        <v>423</v>
      </c>
      <c r="C23" s="5" t="n">
        <f aca="false">COUNTIFS(Backlog!B:B,"LeaseTrapDetector",Backlog!C:C,"Landlord limits")</f>
        <v>7</v>
      </c>
      <c r="D23" s="5" t="n">
        <f aca="false">COUNTIFS(Backlog!B:B,"LeaseTrapDetector",Backlog!C:C,"Landlord limits",Backlog!H:H,"Shipped")</f>
        <v>0</v>
      </c>
      <c r="E23" s="5" t="n">
        <f aca="false">COUNTIFS(Backlog!B:B,"LeaseTrapDetector",Backlog!C:C,"Landlord limits",Backlog!H:H,"Candidate")</f>
        <v>7</v>
      </c>
      <c r="F23" s="5" t="n">
        <f aca="false">COUNTIFS(Backlog!B:B,"LeaseTrapDetector",Backlog!C:C,"Landlord limits",Backlog!G:G,"High",Backlog!H:H,"Candidate")</f>
        <v>3</v>
      </c>
    </row>
    <row r="24" customFormat="false" ht="15" hidden="false" customHeight="true" outlineLevel="0" collapsed="false">
      <c r="A24" s="5" t="s">
        <v>403</v>
      </c>
      <c r="B24" s="5" t="s">
        <v>431</v>
      </c>
      <c r="C24" s="5" t="n">
        <f aca="false">COUNTIFS(Backlog!B:B,"LeaseTrapDetector",Backlog!C:C,"Post-signing")</f>
        <v>5</v>
      </c>
      <c r="D24" s="5" t="n">
        <f aca="false">COUNTIFS(Backlog!B:B,"LeaseTrapDetector",Backlog!C:C,"Post-signing",Backlog!H:H,"Shipped")</f>
        <v>0</v>
      </c>
      <c r="E24" s="5" t="n">
        <f aca="false">COUNTIFS(Backlog!B:B,"LeaseTrapDetector",Backlog!C:C,"Post-signing",Backlog!H:H,"Candidate")</f>
        <v>5</v>
      </c>
      <c r="F24" s="5" t="n">
        <f aca="false">COUNTIFS(Backlog!B:B,"LeaseTrapDetector",Backlog!C:C,"Post-signing",Backlog!G:G,"High",Backlog!H:H,"Candidate")</f>
        <v>2</v>
      </c>
    </row>
    <row r="25" customFormat="false" ht="15" hidden="false" customHeight="true" outlineLevel="0" collapsed="false">
      <c r="A25" s="5" t="s">
        <v>403</v>
      </c>
      <c r="B25" s="5" t="s">
        <v>486</v>
      </c>
      <c r="C25" s="5" t="n">
        <f aca="false">COUNTIFS(Backlog!B:B,"LeaseTrapDetector",Backlog!C:C,"Vetting")</f>
        <v>3</v>
      </c>
      <c r="D25" s="5" t="n">
        <f aca="false">COUNTIFS(Backlog!B:B,"LeaseTrapDetector",Backlog!C:C,"Vetting",Backlog!H:H,"Shipped")</f>
        <v>0</v>
      </c>
      <c r="E25" s="5" t="n">
        <f aca="false">COUNTIFS(Backlog!B:B,"LeaseTrapDetector",Backlog!C:C,"Vetting",Backlog!H:H,"Candidate")</f>
        <v>3</v>
      </c>
      <c r="F25" s="5" t="n">
        <f aca="false">COUNTIFS(Backlog!B:B,"LeaseTrapDetector",Backlog!C:C,"Vetting",Backlog!G:G,"High",Backlog!H:H,"Candidate")</f>
        <v>0</v>
      </c>
    </row>
    <row r="26" customFormat="false" ht="15" hidden="false" customHeight="true" outlineLevel="0" collapsed="false">
      <c r="A26" s="5" t="s">
        <v>403</v>
      </c>
      <c r="B26" s="5" t="s">
        <v>439</v>
      </c>
      <c r="C26" s="5" t="n">
        <f aca="false">COUNTIFS(Backlog!B:B,"LeaseTrapDetector",Backlog!C:C,"Special")</f>
        <v>3</v>
      </c>
      <c r="D26" s="5" t="n">
        <f aca="false">COUNTIFS(Backlog!B:B,"LeaseTrapDetector",Backlog!C:C,"Special",Backlog!H:H,"Shipped")</f>
        <v>0</v>
      </c>
      <c r="E26" s="5" t="n">
        <f aca="false">COUNTIFS(Backlog!B:B,"LeaseTrapDetector",Backlog!C:C,"Special",Backlog!H:H,"Candidate")</f>
        <v>3</v>
      </c>
      <c r="F26" s="5" t="n">
        <f aca="false">COUNTIFS(Backlog!B:B,"LeaseTrapDetector",Backlog!C:C,"Special",Backlog!G:G,"High",Backlog!H:H,"Candidate")</f>
        <v>0</v>
      </c>
    </row>
    <row r="27" customFormat="false" ht="15" hidden="false" customHeight="true" outlineLevel="0" collapsed="false">
      <c r="A27" s="5" t="s">
        <v>319</v>
      </c>
      <c r="B27" s="5" t="s">
        <v>308</v>
      </c>
      <c r="C27" s="5" t="n">
        <f aca="false">COUNTIFS(Backlog!B:B,"DoctorVisitTranslator",Backlog!C:C,"Before")</f>
        <v>0</v>
      </c>
      <c r="D27" s="5" t="n">
        <f aca="false">COUNTIFS(Backlog!B:B,"DoctorVisitTranslator",Backlog!C:C,"Before",Backlog!H:H,"Shipped")</f>
        <v>0</v>
      </c>
      <c r="E27" s="5" t="n">
        <f aca="false">COUNTIFS(Backlog!B:B,"DoctorVisitTranslator",Backlog!C:C,"Before",Backlog!H:H,"Candidate")</f>
        <v>0</v>
      </c>
      <c r="F27" s="5" t="n">
        <f aca="false">COUNTIFS(Backlog!B:B,"DoctorVisitTranslator",Backlog!C:C,"Before",Backlog!G:G,"High",Backlog!H:H,"Candidate")</f>
        <v>0</v>
      </c>
    </row>
    <row r="28" customFormat="false" ht="15" hidden="false" customHeight="true" outlineLevel="0" collapsed="false">
      <c r="A28" s="5" t="s">
        <v>319</v>
      </c>
      <c r="B28" s="5" t="s">
        <v>320</v>
      </c>
      <c r="C28" s="5" t="n">
        <f aca="false">COUNTIFS(Backlog!B:B,"DoctorVisitTranslator",Backlog!C:C,"Understand")</f>
        <v>3</v>
      </c>
      <c r="D28" s="5" t="n">
        <f aca="false">COUNTIFS(Backlog!B:B,"DoctorVisitTranslator",Backlog!C:C,"Understand",Backlog!H:H,"Shipped")</f>
        <v>1</v>
      </c>
      <c r="E28" s="5" t="n">
        <f aca="false">COUNTIFS(Backlog!B:B,"DoctorVisitTranslator",Backlog!C:C,"Understand",Backlog!H:H,"Candidate")</f>
        <v>2</v>
      </c>
      <c r="F28" s="5" t="n">
        <f aca="false">COUNTIFS(Backlog!B:B,"DoctorVisitTranslator",Backlog!C:C,"Understand",Backlog!G:G,"High",Backlog!H:H,"Candidate")</f>
        <v>0</v>
      </c>
    </row>
    <row r="29" customFormat="false" ht="15" hidden="false" customHeight="true" outlineLevel="0" collapsed="false">
      <c r="A29" s="5" t="s">
        <v>319</v>
      </c>
      <c r="B29" s="5" t="s">
        <v>323</v>
      </c>
      <c r="C29" s="5" t="n">
        <f aca="false">COUNTIFS(Backlog!B:B,"DoctorVisitTranslator",Backlog!C:C,"Tests")</f>
        <v>7</v>
      </c>
      <c r="D29" s="5" t="n">
        <f aca="false">COUNTIFS(Backlog!B:B,"DoctorVisitTranslator",Backlog!C:C,"Tests",Backlog!H:H,"Shipped")</f>
        <v>0</v>
      </c>
      <c r="E29" s="5" t="n">
        <f aca="false">COUNTIFS(Backlog!B:B,"DoctorVisitTranslator",Backlog!C:C,"Tests",Backlog!H:H,"Candidate")</f>
        <v>7</v>
      </c>
      <c r="F29" s="5" t="n">
        <f aca="false">COUNTIFS(Backlog!B:B,"DoctorVisitTranslator",Backlog!C:C,"Tests",Backlog!G:G,"High",Backlog!H:H,"Candidate")</f>
        <v>1</v>
      </c>
    </row>
    <row r="30" customFormat="false" ht="15" hidden="false" customHeight="true" outlineLevel="0" collapsed="false">
      <c r="A30" s="5" t="s">
        <v>319</v>
      </c>
      <c r="B30" s="5" t="s">
        <v>326</v>
      </c>
      <c r="C30" s="5" t="n">
        <f aca="false">COUNTIFS(Backlog!B:B,"DoctorVisitTranslator",Backlog!C:C,"Medication")</f>
        <v>3</v>
      </c>
      <c r="D30" s="5" t="n">
        <f aca="false">COUNTIFS(Backlog!B:B,"DoctorVisitTranslator",Backlog!C:C,"Medication",Backlog!H:H,"Shipped")</f>
        <v>0</v>
      </c>
      <c r="E30" s="5" t="n">
        <f aca="false">COUNTIFS(Backlog!B:B,"DoctorVisitTranslator",Backlog!C:C,"Medication",Backlog!H:H,"Candidate")</f>
        <v>3</v>
      </c>
      <c r="F30" s="5" t="n">
        <f aca="false">COUNTIFS(Backlog!B:B,"DoctorVisitTranslator",Backlog!C:C,"Medication",Backlog!G:G,"High",Backlog!H:H,"Candidate")</f>
        <v>0</v>
      </c>
    </row>
    <row r="31" customFormat="false" ht="15" hidden="false" customHeight="true" outlineLevel="0" collapsed="false">
      <c r="A31" s="5" t="s">
        <v>319</v>
      </c>
      <c r="B31" s="5" t="s">
        <v>329</v>
      </c>
      <c r="C31" s="5" t="n">
        <f aca="false">COUNTIFS(Backlog!B:B,"DoctorVisitTranslator",Backlog!C:C,"Advocacy")</f>
        <v>0</v>
      </c>
      <c r="D31" s="5" t="n">
        <f aca="false">COUNTIFS(Backlog!B:B,"DoctorVisitTranslator",Backlog!C:C,"Advocacy",Backlog!H:H,"Shipped")</f>
        <v>0</v>
      </c>
      <c r="E31" s="5" t="n">
        <f aca="false">COUNTIFS(Backlog!B:B,"DoctorVisitTranslator",Backlog!C:C,"Advocacy",Backlog!H:H,"Candidate")</f>
        <v>0</v>
      </c>
      <c r="F31" s="5" t="n">
        <f aca="false">COUNTIFS(Backlog!B:B,"DoctorVisitTranslator",Backlog!C:C,"Advocacy",Backlog!G:G,"High",Backlog!H:H,"Candidate")</f>
        <v>0</v>
      </c>
    </row>
    <row r="32" customFormat="false" ht="15" hidden="false" customHeight="true" outlineLevel="0" collapsed="false">
      <c r="A32" s="5" t="s">
        <v>319</v>
      </c>
      <c r="B32" s="5" t="s">
        <v>388</v>
      </c>
      <c r="C32" s="5" t="n">
        <f aca="false">COUNTIFS(Backlog!B:B,"DoctorVisitTranslator",Backlog!C:C,"Specialists")</f>
        <v>1</v>
      </c>
      <c r="D32" s="5" t="n">
        <f aca="false">COUNTIFS(Backlog!B:B,"DoctorVisitTranslator",Backlog!C:C,"Specialists",Backlog!H:H,"Shipped")</f>
        <v>0</v>
      </c>
      <c r="E32" s="5" t="n">
        <f aca="false">COUNTIFS(Backlog!B:B,"DoctorVisitTranslator",Backlog!C:C,"Specialists",Backlog!H:H,"Candidate")</f>
        <v>1</v>
      </c>
      <c r="F32" s="5" t="n">
        <f aca="false">COUNTIFS(Backlog!B:B,"DoctorVisitTranslator",Backlog!C:C,"Specialists",Backlog!G:G,"High",Backlog!H:H,"Candidate")</f>
        <v>0</v>
      </c>
    </row>
    <row r="33" customFormat="false" ht="15" hidden="false" customHeight="true" outlineLevel="0" collapsed="false">
      <c r="A33" s="5" t="s">
        <v>319</v>
      </c>
      <c r="B33" s="5" t="s">
        <v>339</v>
      </c>
      <c r="C33" s="5" t="n">
        <f aca="false">COUNTIFS(Backlog!B:B,"DoctorVisitTranslator",Backlog!C:C,"Diagnosis")</f>
        <v>3</v>
      </c>
      <c r="D33" s="5" t="n">
        <f aca="false">COUNTIFS(Backlog!B:B,"DoctorVisitTranslator",Backlog!C:C,"Diagnosis",Backlog!H:H,"Shipped")</f>
        <v>0</v>
      </c>
      <c r="E33" s="5" t="n">
        <f aca="false">COUNTIFS(Backlog!B:B,"DoctorVisitTranslator",Backlog!C:C,"Diagnosis",Backlog!H:H,"Candidate")</f>
        <v>3</v>
      </c>
      <c r="F33" s="5" t="n">
        <f aca="false">COUNTIFS(Backlog!B:B,"DoctorVisitTranslator",Backlog!C:C,"Diagnosis",Backlog!G:G,"High",Backlog!H:H,"Candidate")</f>
        <v>1</v>
      </c>
    </row>
    <row r="34" customFormat="false" ht="15" hidden="false" customHeight="true" outlineLevel="0" collapsed="false">
      <c r="A34" s="5" t="s">
        <v>307</v>
      </c>
      <c r="B34" s="5" t="s">
        <v>308</v>
      </c>
      <c r="C34" s="5" t="n">
        <f aca="false">COUNTIFS(Backlog!B:B,"DoctorVisitPrep",Backlog!C:C,"Before")</f>
        <v>7</v>
      </c>
      <c r="D34" s="5" t="n">
        <f aca="false">COUNTIFS(Backlog!B:B,"DoctorVisitPrep",Backlog!C:C,"Before",Backlog!H:H,"Shipped")</f>
        <v>4</v>
      </c>
      <c r="E34" s="5" t="n">
        <f aca="false">COUNTIFS(Backlog!B:B,"DoctorVisitPrep",Backlog!C:C,"Before",Backlog!H:H,"Candidate")</f>
        <v>3</v>
      </c>
      <c r="F34" s="5" t="n">
        <f aca="false">COUNTIFS(Backlog!B:B,"DoctorVisitPrep",Backlog!C:C,"Before",Backlog!G:G,"High",Backlog!H:H,"Candidate")</f>
        <v>0</v>
      </c>
    </row>
    <row r="35" customFormat="false" ht="15" hidden="false" customHeight="true" outlineLevel="0" collapsed="false">
      <c r="A35" s="5" t="s">
        <v>307</v>
      </c>
      <c r="B35" s="5" t="s">
        <v>320</v>
      </c>
      <c r="C35" s="5" t="n">
        <f aca="false">COUNTIFS(Backlog!B:B,"DoctorVisitPrep",Backlog!C:C,"Understand")</f>
        <v>2</v>
      </c>
      <c r="D35" s="5" t="n">
        <f aca="false">COUNTIFS(Backlog!B:B,"DoctorVisitPrep",Backlog!C:C,"Understand",Backlog!H:H,"Shipped")</f>
        <v>0</v>
      </c>
      <c r="E35" s="5" t="n">
        <f aca="false">COUNTIFS(Backlog!B:B,"DoctorVisitPrep",Backlog!C:C,"Understand",Backlog!H:H,"Candidate")</f>
        <v>2</v>
      </c>
      <c r="F35" s="5" t="n">
        <f aca="false">COUNTIFS(Backlog!B:B,"DoctorVisitPrep",Backlog!C:C,"Understand",Backlog!G:G,"High",Backlog!H:H,"Candidate")</f>
        <v>0</v>
      </c>
    </row>
    <row r="36" customFormat="false" ht="15" hidden="false" customHeight="true" outlineLevel="0" collapsed="false">
      <c r="A36" s="5" t="s">
        <v>307</v>
      </c>
      <c r="B36" s="5" t="s">
        <v>326</v>
      </c>
      <c r="C36" s="5" t="n">
        <f aca="false">COUNTIFS(Backlog!B:B,"DoctorVisitPrep",Backlog!C:C,"Medication")</f>
        <v>3</v>
      </c>
      <c r="D36" s="5" t="n">
        <f aca="false">COUNTIFS(Backlog!B:B,"DoctorVisitPrep",Backlog!C:C,"Medication",Backlog!H:H,"Shipped")</f>
        <v>0</v>
      </c>
      <c r="E36" s="5" t="n">
        <f aca="false">COUNTIFS(Backlog!B:B,"DoctorVisitPrep",Backlog!C:C,"Medication",Backlog!H:H,"Candidate")</f>
        <v>3</v>
      </c>
      <c r="F36" s="5" t="n">
        <f aca="false">COUNTIFS(Backlog!B:B,"DoctorVisitPrep",Backlog!C:C,"Medication",Backlog!G:G,"High",Backlog!H:H,"Candidate")</f>
        <v>1</v>
      </c>
    </row>
    <row r="37" customFormat="false" ht="15" hidden="false" customHeight="true" outlineLevel="0" collapsed="false">
      <c r="A37" s="5" t="s">
        <v>307</v>
      </c>
      <c r="B37" s="5" t="s">
        <v>329</v>
      </c>
      <c r="C37" s="5" t="n">
        <f aca="false">COUNTIFS(Backlog!B:B,"DoctorVisitPrep",Backlog!C:C,"Advocacy")</f>
        <v>8</v>
      </c>
      <c r="D37" s="5" t="n">
        <f aca="false">COUNTIFS(Backlog!B:B,"DoctorVisitPrep",Backlog!C:C,"Advocacy",Backlog!H:H,"Shipped")</f>
        <v>0</v>
      </c>
      <c r="E37" s="5" t="n">
        <f aca="false">COUNTIFS(Backlog!B:B,"DoctorVisitPrep",Backlog!C:C,"Advocacy",Backlog!H:H,"Candidate")</f>
        <v>8</v>
      </c>
      <c r="F37" s="5" t="n">
        <f aca="false">COUNTIFS(Backlog!B:B,"DoctorVisitPrep",Backlog!C:C,"Advocacy",Backlog!G:G,"High",Backlog!H:H,"Candidate")</f>
        <v>4</v>
      </c>
    </row>
    <row r="38" customFormat="false" ht="15" hidden="false" customHeight="true" outlineLevel="0" collapsed="false">
      <c r="A38" s="5" t="s">
        <v>307</v>
      </c>
      <c r="B38" s="5" t="s">
        <v>388</v>
      </c>
      <c r="C38" s="5" t="n">
        <f aca="false">COUNTIFS(Backlog!B:B,"DoctorVisitPrep",Backlog!C:C,"Specialists")</f>
        <v>2</v>
      </c>
      <c r="D38" s="5" t="n">
        <f aca="false">COUNTIFS(Backlog!B:B,"DoctorVisitPrep",Backlog!C:C,"Specialists",Backlog!H:H,"Shipped")</f>
        <v>0</v>
      </c>
      <c r="E38" s="5" t="n">
        <f aca="false">COUNTIFS(Backlog!B:B,"DoctorVisitPrep",Backlog!C:C,"Specialists",Backlog!H:H,"Candidate")</f>
        <v>2</v>
      </c>
      <c r="F38" s="5" t="n">
        <f aca="false">COUNTIFS(Backlog!B:B,"DoctorVisitPrep",Backlog!C:C,"Specialists",Backlog!G:G,"High",Backlog!H:H,"Candidate")</f>
        <v>0</v>
      </c>
    </row>
    <row r="39" customFormat="false" ht="15" hidden="false" customHeight="true" outlineLevel="0" collapsed="false">
      <c r="A39" s="5" t="s">
        <v>307</v>
      </c>
      <c r="B39" s="5" t="s">
        <v>339</v>
      </c>
      <c r="C39" s="5" t="n">
        <f aca="false">COUNTIFS(Backlog!B:B,"DoctorVisitPrep",Backlog!C:C,"Diagnosis")</f>
        <v>1</v>
      </c>
      <c r="D39" s="5" t="n">
        <f aca="false">COUNTIFS(Backlog!B:B,"DoctorVisitPrep",Backlog!C:C,"Diagnosis",Backlog!H:H,"Shipped")</f>
        <v>0</v>
      </c>
      <c r="E39" s="5" t="n">
        <f aca="false">COUNTIFS(Backlog!B:B,"DoctorVisitPrep",Backlog!C:C,"Diagnosis",Backlog!H:H,"Candidate")</f>
        <v>1</v>
      </c>
      <c r="F39" s="5" t="n">
        <f aca="false">COUNTIFS(Backlog!B:B,"DoctorVisitPrep",Backlog!C:C,"Diagnosis",Backlog!G:G,"High",Backlog!H:H,"Candidate")</f>
        <v>0</v>
      </c>
    </row>
    <row r="40" customFormat="false" ht="15" hidden="false" customHeight="false" outlineLevel="0" collapsed="false">
      <c r="A40" s="6" t="s">
        <v>627</v>
      </c>
      <c r="B40" s="6"/>
      <c r="C40" s="6" t="n">
        <f aca="false">SUM(C2:C39)</f>
        <v>231</v>
      </c>
      <c r="D40" s="6" t="n">
        <f aca="false">SUM(D2:D39)</f>
        <v>10</v>
      </c>
      <c r="E40" s="6" t="n">
        <f aca="false">SUM(E2:E39)</f>
        <v>221</v>
      </c>
      <c r="F40" s="6" t="n">
        <f aca="false">SUM(F2:F39)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55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2" t="s">
        <v>1</v>
      </c>
      <c r="B1" s="2" t="s">
        <v>628</v>
      </c>
      <c r="C1" s="2" t="s">
        <v>629</v>
      </c>
      <c r="D1" s="2" t="s">
        <v>630</v>
      </c>
      <c r="E1" s="2" t="s">
        <v>7</v>
      </c>
      <c r="F1" s="2" t="s">
        <v>8</v>
      </c>
      <c r="H1" s="7" t="s">
        <v>631</v>
      </c>
      <c r="I1" s="7" t="s">
        <v>632</v>
      </c>
      <c r="J1" s="7" t="s">
        <v>630</v>
      </c>
    </row>
    <row r="2" customFormat="false" ht="21.75" hidden="false" customHeight="true" outlineLevel="0" collapsed="false">
      <c r="A2" s="3" t="s">
        <v>9</v>
      </c>
      <c r="B2" s="3" t="s">
        <v>633</v>
      </c>
      <c r="C2" s="3" t="s">
        <v>634</v>
      </c>
      <c r="D2" s="3" t="n">
        <v>96</v>
      </c>
      <c r="E2" s="3" t="s">
        <v>635</v>
      </c>
      <c r="F2" s="3" t="s">
        <v>636</v>
      </c>
      <c r="H2" s="8" t="s">
        <v>634</v>
      </c>
      <c r="I2" s="9" t="n">
        <f aca="false">COUNTIF(C:C,"HIGH")</f>
        <v>16</v>
      </c>
      <c r="J2" s="9" t="n">
        <f aca="false">SUMIF(C:C,"HIGH",D:D)</f>
        <v>464</v>
      </c>
    </row>
    <row r="3" customFormat="false" ht="21.75" hidden="false" customHeight="true" outlineLevel="0" collapsed="false">
      <c r="A3" s="3" t="s">
        <v>495</v>
      </c>
      <c r="B3" s="3" t="s">
        <v>637</v>
      </c>
      <c r="C3" s="3" t="s">
        <v>634</v>
      </c>
      <c r="D3" s="3" t="n">
        <v>57</v>
      </c>
      <c r="E3" s="3" t="s">
        <v>635</v>
      </c>
      <c r="F3" s="3" t="s">
        <v>638</v>
      </c>
      <c r="H3" s="8" t="s">
        <v>639</v>
      </c>
      <c r="I3" s="9" t="n">
        <f aca="false">COUNTIF(C:C,"MEDIUM")</f>
        <v>35</v>
      </c>
      <c r="J3" s="9" t="n">
        <f aca="false">SUMIF(C:C,"MEDIUM",D:D)</f>
        <v>336</v>
      </c>
    </row>
    <row r="4" customFormat="false" ht="21.75" hidden="false" customHeight="true" outlineLevel="0" collapsed="false">
      <c r="A4" s="3" t="s">
        <v>319</v>
      </c>
      <c r="B4" s="3" t="s">
        <v>640</v>
      </c>
      <c r="C4" s="3" t="s">
        <v>634</v>
      </c>
      <c r="D4" s="3" t="n">
        <v>17</v>
      </c>
      <c r="E4" s="3" t="s">
        <v>635</v>
      </c>
      <c r="F4" s="3" t="s">
        <v>641</v>
      </c>
      <c r="H4" s="8" t="s">
        <v>642</v>
      </c>
      <c r="I4" s="9" t="n">
        <f aca="false">COUNTIF(C:C,"LOW")</f>
        <v>40</v>
      </c>
      <c r="J4" s="9" t="n">
        <f aca="false">SUMIF(C:C,"LOW",D:D)</f>
        <v>131</v>
      </c>
    </row>
    <row r="5" customFormat="false" ht="21.75" hidden="false" customHeight="true" outlineLevel="0" collapsed="false">
      <c r="A5" s="3" t="s">
        <v>307</v>
      </c>
      <c r="B5" s="3" t="s">
        <v>643</v>
      </c>
      <c r="C5" s="3" t="s">
        <v>634</v>
      </c>
      <c r="D5" s="3" t="n">
        <v>23</v>
      </c>
      <c r="E5" s="3" t="s">
        <v>635</v>
      </c>
      <c r="F5" s="3" t="s">
        <v>644</v>
      </c>
      <c r="H5" s="8" t="s">
        <v>645</v>
      </c>
      <c r="I5" s="9" t="n">
        <f aca="false">COUNTIF(C:C,"NONE")</f>
        <v>28</v>
      </c>
      <c r="J5" s="9" t="n">
        <f aca="false">SUMIF(C:C,"NONE",D:D)</f>
        <v>0</v>
      </c>
    </row>
    <row r="6" customFormat="false" ht="21.75" hidden="false" customHeight="true" outlineLevel="0" collapsed="false">
      <c r="A6" s="3" t="s">
        <v>403</v>
      </c>
      <c r="B6" s="3" t="s">
        <v>646</v>
      </c>
      <c r="C6" s="3" t="s">
        <v>634</v>
      </c>
      <c r="D6" s="3" t="n">
        <v>38</v>
      </c>
      <c r="E6" s="3" t="s">
        <v>635</v>
      </c>
      <c r="F6" s="3" t="s">
        <v>647</v>
      </c>
      <c r="H6" s="6" t="s">
        <v>627</v>
      </c>
      <c r="I6" s="6" t="n">
        <f aca="false">SUM(I2:I5)</f>
        <v>119</v>
      </c>
      <c r="J6" s="6" t="n">
        <f aca="false">SUM(J2:J5)</f>
        <v>931</v>
      </c>
    </row>
    <row r="7" customFormat="false" ht="21.75" hidden="false" customHeight="true" outlineLevel="0" collapsed="false">
      <c r="A7" s="3" t="s">
        <v>648</v>
      </c>
      <c r="B7" s="3" t="s">
        <v>649</v>
      </c>
      <c r="C7" s="3" t="s">
        <v>634</v>
      </c>
      <c r="D7" s="3" t="n">
        <v>30</v>
      </c>
      <c r="E7" s="3" t="s">
        <v>650</v>
      </c>
      <c r="F7" s="3" t="s">
        <v>651</v>
      </c>
    </row>
    <row r="8" customFormat="false" ht="21.75" hidden="false" customHeight="true" outlineLevel="0" collapsed="false">
      <c r="A8" s="3" t="s">
        <v>652</v>
      </c>
      <c r="B8" s="3" t="s">
        <v>653</v>
      </c>
      <c r="C8" s="3" t="s">
        <v>634</v>
      </c>
      <c r="D8" s="3" t="n">
        <v>30</v>
      </c>
      <c r="E8" s="3" t="s">
        <v>650</v>
      </c>
      <c r="F8" s="3" t="s">
        <v>654</v>
      </c>
    </row>
    <row r="9" customFormat="false" ht="21.75" hidden="false" customHeight="true" outlineLevel="0" collapsed="false">
      <c r="A9" s="3" t="s">
        <v>655</v>
      </c>
      <c r="B9" s="3" t="s">
        <v>656</v>
      </c>
      <c r="C9" s="3" t="s">
        <v>634</v>
      </c>
      <c r="D9" s="3" t="n">
        <v>25</v>
      </c>
      <c r="E9" s="3" t="s">
        <v>650</v>
      </c>
      <c r="F9" s="3" t="s">
        <v>657</v>
      </c>
    </row>
    <row r="10" customFormat="false" ht="21.75" hidden="false" customHeight="true" outlineLevel="0" collapsed="false">
      <c r="A10" s="3" t="s">
        <v>658</v>
      </c>
      <c r="B10" s="3" t="s">
        <v>659</v>
      </c>
      <c r="C10" s="3" t="s">
        <v>634</v>
      </c>
      <c r="D10" s="3" t="n">
        <v>25</v>
      </c>
      <c r="E10" s="3" t="s">
        <v>660</v>
      </c>
      <c r="F10" s="3" t="s">
        <v>661</v>
      </c>
    </row>
    <row r="11" customFormat="false" ht="21.75" hidden="false" customHeight="true" outlineLevel="0" collapsed="false">
      <c r="A11" s="3" t="s">
        <v>662</v>
      </c>
      <c r="B11" s="3" t="s">
        <v>663</v>
      </c>
      <c r="C11" s="3" t="s">
        <v>634</v>
      </c>
      <c r="D11" s="3" t="n">
        <v>20</v>
      </c>
      <c r="E11" s="3" t="s">
        <v>650</v>
      </c>
      <c r="F11" s="3" t="s">
        <v>664</v>
      </c>
    </row>
    <row r="12" customFormat="false" ht="21.75" hidden="false" customHeight="true" outlineLevel="0" collapsed="false">
      <c r="A12" s="3" t="s">
        <v>665</v>
      </c>
      <c r="B12" s="3" t="s">
        <v>666</v>
      </c>
      <c r="C12" s="3" t="s">
        <v>634</v>
      </c>
      <c r="D12" s="3" t="n">
        <v>20</v>
      </c>
      <c r="E12" s="3" t="s">
        <v>650</v>
      </c>
      <c r="F12" s="3" t="s">
        <v>667</v>
      </c>
    </row>
    <row r="13" customFormat="false" ht="21.75" hidden="false" customHeight="true" outlineLevel="0" collapsed="false">
      <c r="A13" s="3" t="s">
        <v>668</v>
      </c>
      <c r="B13" s="3" t="s">
        <v>669</v>
      </c>
      <c r="C13" s="3" t="s">
        <v>634</v>
      </c>
      <c r="D13" s="3" t="n">
        <v>20</v>
      </c>
      <c r="E13" s="3" t="s">
        <v>650</v>
      </c>
      <c r="F13" s="3" t="s">
        <v>670</v>
      </c>
    </row>
    <row r="14" customFormat="false" ht="21.75" hidden="false" customHeight="true" outlineLevel="0" collapsed="false">
      <c r="A14" s="3" t="s">
        <v>671</v>
      </c>
      <c r="B14" s="3" t="s">
        <v>672</v>
      </c>
      <c r="C14" s="3" t="s">
        <v>634</v>
      </c>
      <c r="D14" s="3" t="n">
        <v>18</v>
      </c>
      <c r="E14" s="3" t="s">
        <v>650</v>
      </c>
      <c r="F14" s="3" t="s">
        <v>673</v>
      </c>
    </row>
    <row r="15" customFormat="false" ht="21.75" hidden="false" customHeight="true" outlineLevel="0" collapsed="false">
      <c r="A15" s="3" t="s">
        <v>674</v>
      </c>
      <c r="B15" s="3" t="s">
        <v>675</v>
      </c>
      <c r="C15" s="3" t="s">
        <v>634</v>
      </c>
      <c r="D15" s="3" t="n">
        <v>15</v>
      </c>
      <c r="E15" s="3" t="s">
        <v>650</v>
      </c>
      <c r="F15" s="3" t="s">
        <v>676</v>
      </c>
    </row>
    <row r="16" customFormat="false" ht="21.75" hidden="false" customHeight="true" outlineLevel="0" collapsed="false">
      <c r="A16" s="3" t="s">
        <v>677</v>
      </c>
      <c r="B16" s="3" t="s">
        <v>678</v>
      </c>
      <c r="C16" s="3" t="s">
        <v>634</v>
      </c>
      <c r="D16" s="3" t="n">
        <v>15</v>
      </c>
      <c r="E16" s="3" t="s">
        <v>660</v>
      </c>
      <c r="F16" s="3" t="s">
        <v>679</v>
      </c>
    </row>
    <row r="17" customFormat="false" ht="21.75" hidden="false" customHeight="true" outlineLevel="0" collapsed="false">
      <c r="A17" s="3" t="s">
        <v>680</v>
      </c>
      <c r="B17" s="3" t="s">
        <v>681</v>
      </c>
      <c r="C17" s="3" t="s">
        <v>634</v>
      </c>
      <c r="D17" s="3" t="n">
        <v>15</v>
      </c>
      <c r="E17" s="3" t="s">
        <v>650</v>
      </c>
      <c r="F17" s="3" t="s">
        <v>682</v>
      </c>
    </row>
    <row r="18" customFormat="false" ht="21.75" hidden="false" customHeight="true" outlineLevel="0" collapsed="false">
      <c r="A18" s="3" t="s">
        <v>683</v>
      </c>
      <c r="B18" s="3" t="s">
        <v>684</v>
      </c>
      <c r="C18" s="3" t="s">
        <v>639</v>
      </c>
      <c r="D18" s="3" t="n">
        <v>15</v>
      </c>
      <c r="E18" s="3" t="s">
        <v>650</v>
      </c>
      <c r="F18" s="3" t="s">
        <v>685</v>
      </c>
    </row>
    <row r="19" customFormat="false" ht="21.75" hidden="false" customHeight="true" outlineLevel="0" collapsed="false">
      <c r="A19" s="3" t="s">
        <v>686</v>
      </c>
      <c r="B19" s="3" t="s">
        <v>687</v>
      </c>
      <c r="C19" s="3" t="s">
        <v>639</v>
      </c>
      <c r="D19" s="3" t="n">
        <v>15</v>
      </c>
      <c r="E19" s="3" t="s">
        <v>660</v>
      </c>
      <c r="F19" s="3" t="s">
        <v>688</v>
      </c>
    </row>
    <row r="20" customFormat="false" ht="21.75" hidden="false" customHeight="true" outlineLevel="0" collapsed="false">
      <c r="A20" s="3" t="s">
        <v>689</v>
      </c>
      <c r="B20" s="3" t="s">
        <v>690</v>
      </c>
      <c r="C20" s="3" t="s">
        <v>639</v>
      </c>
      <c r="D20" s="3" t="n">
        <v>12</v>
      </c>
      <c r="E20" s="3" t="s">
        <v>650</v>
      </c>
      <c r="F20" s="3" t="s">
        <v>691</v>
      </c>
    </row>
    <row r="21" customFormat="false" ht="21.75" hidden="false" customHeight="true" outlineLevel="0" collapsed="false">
      <c r="A21" s="3" t="s">
        <v>692</v>
      </c>
      <c r="B21" s="3" t="s">
        <v>693</v>
      </c>
      <c r="C21" s="3" t="s">
        <v>639</v>
      </c>
      <c r="D21" s="3" t="n">
        <v>12</v>
      </c>
      <c r="E21" s="3" t="s">
        <v>650</v>
      </c>
      <c r="F21" s="3" t="s">
        <v>694</v>
      </c>
    </row>
    <row r="22" customFormat="false" ht="21.75" hidden="false" customHeight="true" outlineLevel="0" collapsed="false">
      <c r="A22" s="3" t="s">
        <v>695</v>
      </c>
      <c r="B22" s="3" t="s">
        <v>696</v>
      </c>
      <c r="C22" s="3" t="s">
        <v>639</v>
      </c>
      <c r="D22" s="3" t="n">
        <v>12</v>
      </c>
      <c r="E22" s="3" t="s">
        <v>650</v>
      </c>
      <c r="F22" s="3" t="s">
        <v>697</v>
      </c>
    </row>
    <row r="23" customFormat="false" ht="21.75" hidden="false" customHeight="true" outlineLevel="0" collapsed="false">
      <c r="A23" s="3" t="s">
        <v>698</v>
      </c>
      <c r="B23" s="3" t="s">
        <v>699</v>
      </c>
      <c r="C23" s="3" t="s">
        <v>639</v>
      </c>
      <c r="D23" s="3" t="n">
        <v>12</v>
      </c>
      <c r="E23" s="3" t="s">
        <v>650</v>
      </c>
      <c r="F23" s="3" t="s">
        <v>700</v>
      </c>
    </row>
    <row r="24" customFormat="false" ht="21.75" hidden="false" customHeight="true" outlineLevel="0" collapsed="false">
      <c r="A24" s="3" t="s">
        <v>701</v>
      </c>
      <c r="B24" s="3" t="s">
        <v>702</v>
      </c>
      <c r="C24" s="3" t="s">
        <v>639</v>
      </c>
      <c r="D24" s="3" t="n">
        <v>12</v>
      </c>
      <c r="E24" s="3" t="s">
        <v>660</v>
      </c>
      <c r="F24" s="3" t="s">
        <v>703</v>
      </c>
    </row>
    <row r="25" customFormat="false" ht="21.75" hidden="false" customHeight="true" outlineLevel="0" collapsed="false">
      <c r="A25" s="3" t="s">
        <v>704</v>
      </c>
      <c r="B25" s="3" t="s">
        <v>705</v>
      </c>
      <c r="C25" s="3" t="s">
        <v>639</v>
      </c>
      <c r="D25" s="3" t="n">
        <v>12</v>
      </c>
      <c r="E25" s="3" t="s">
        <v>650</v>
      </c>
      <c r="F25" s="3" t="s">
        <v>706</v>
      </c>
    </row>
    <row r="26" customFormat="false" ht="21.75" hidden="false" customHeight="true" outlineLevel="0" collapsed="false">
      <c r="A26" s="3" t="s">
        <v>707</v>
      </c>
      <c r="B26" s="3" t="s">
        <v>708</v>
      </c>
      <c r="C26" s="3" t="s">
        <v>639</v>
      </c>
      <c r="D26" s="3" t="n">
        <v>12</v>
      </c>
      <c r="E26" s="3" t="s">
        <v>660</v>
      </c>
      <c r="F26" s="3" t="s">
        <v>709</v>
      </c>
    </row>
    <row r="27" customFormat="false" ht="21.75" hidden="false" customHeight="true" outlineLevel="0" collapsed="false">
      <c r="A27" s="3" t="s">
        <v>710</v>
      </c>
      <c r="B27" s="3" t="s">
        <v>711</v>
      </c>
      <c r="C27" s="3" t="s">
        <v>639</v>
      </c>
      <c r="D27" s="3" t="n">
        <v>10</v>
      </c>
      <c r="E27" s="3" t="s">
        <v>650</v>
      </c>
      <c r="F27" s="3" t="s">
        <v>712</v>
      </c>
    </row>
    <row r="28" customFormat="false" ht="21.75" hidden="false" customHeight="true" outlineLevel="0" collapsed="false">
      <c r="A28" s="3" t="s">
        <v>713</v>
      </c>
      <c r="B28" s="3" t="s">
        <v>714</v>
      </c>
      <c r="C28" s="3" t="s">
        <v>639</v>
      </c>
      <c r="D28" s="3" t="n">
        <v>10</v>
      </c>
      <c r="E28" s="3" t="s">
        <v>650</v>
      </c>
      <c r="F28" s="3" t="s">
        <v>715</v>
      </c>
    </row>
    <row r="29" customFormat="false" ht="21.75" hidden="false" customHeight="true" outlineLevel="0" collapsed="false">
      <c r="A29" s="3" t="s">
        <v>716</v>
      </c>
      <c r="B29" s="3" t="s">
        <v>717</v>
      </c>
      <c r="C29" s="3" t="s">
        <v>639</v>
      </c>
      <c r="D29" s="3" t="n">
        <v>10</v>
      </c>
      <c r="E29" s="3" t="s">
        <v>650</v>
      </c>
      <c r="F29" s="3" t="s">
        <v>718</v>
      </c>
    </row>
    <row r="30" customFormat="false" ht="21.75" hidden="false" customHeight="true" outlineLevel="0" collapsed="false">
      <c r="A30" s="3" t="s">
        <v>719</v>
      </c>
      <c r="B30" s="3" t="s">
        <v>720</v>
      </c>
      <c r="C30" s="3" t="s">
        <v>639</v>
      </c>
      <c r="D30" s="3" t="n">
        <v>10</v>
      </c>
      <c r="E30" s="3" t="s">
        <v>650</v>
      </c>
      <c r="F30" s="3" t="s">
        <v>721</v>
      </c>
    </row>
    <row r="31" customFormat="false" ht="21.75" hidden="false" customHeight="true" outlineLevel="0" collapsed="false">
      <c r="A31" s="3" t="s">
        <v>722</v>
      </c>
      <c r="B31" s="3" t="s">
        <v>723</v>
      </c>
      <c r="C31" s="3" t="s">
        <v>639</v>
      </c>
      <c r="D31" s="3" t="n">
        <v>10</v>
      </c>
      <c r="E31" s="3" t="s">
        <v>650</v>
      </c>
      <c r="F31" s="3" t="s">
        <v>724</v>
      </c>
    </row>
    <row r="32" customFormat="false" ht="21.75" hidden="false" customHeight="true" outlineLevel="0" collapsed="false">
      <c r="A32" s="3" t="s">
        <v>725</v>
      </c>
      <c r="B32" s="3" t="s">
        <v>726</v>
      </c>
      <c r="C32" s="3" t="s">
        <v>639</v>
      </c>
      <c r="D32" s="3" t="n">
        <v>10</v>
      </c>
      <c r="E32" s="3" t="s">
        <v>650</v>
      </c>
      <c r="F32" s="3" t="s">
        <v>727</v>
      </c>
    </row>
    <row r="33" customFormat="false" ht="21.75" hidden="false" customHeight="true" outlineLevel="0" collapsed="false">
      <c r="A33" s="3" t="s">
        <v>728</v>
      </c>
      <c r="B33" s="3" t="s">
        <v>729</v>
      </c>
      <c r="C33" s="3" t="s">
        <v>639</v>
      </c>
      <c r="D33" s="3" t="n">
        <v>10</v>
      </c>
      <c r="E33" s="3" t="s">
        <v>650</v>
      </c>
      <c r="F33" s="3" t="s">
        <v>730</v>
      </c>
    </row>
    <row r="34" customFormat="false" ht="21.75" hidden="false" customHeight="true" outlineLevel="0" collapsed="false">
      <c r="A34" s="3" t="s">
        <v>731</v>
      </c>
      <c r="B34" s="3" t="s">
        <v>732</v>
      </c>
      <c r="C34" s="3" t="s">
        <v>639</v>
      </c>
      <c r="D34" s="3" t="n">
        <v>10</v>
      </c>
      <c r="E34" s="3" t="s">
        <v>660</v>
      </c>
      <c r="F34" s="3" t="s">
        <v>733</v>
      </c>
    </row>
    <row r="35" customFormat="false" ht="21.75" hidden="false" customHeight="true" outlineLevel="0" collapsed="false">
      <c r="A35" s="3" t="s">
        <v>734</v>
      </c>
      <c r="B35" s="3" t="s">
        <v>735</v>
      </c>
      <c r="C35" s="3" t="s">
        <v>639</v>
      </c>
      <c r="D35" s="3" t="n">
        <v>10</v>
      </c>
      <c r="E35" s="3" t="s">
        <v>650</v>
      </c>
      <c r="F35" s="3" t="s">
        <v>736</v>
      </c>
    </row>
    <row r="36" customFormat="false" ht="21.75" hidden="false" customHeight="true" outlineLevel="0" collapsed="false">
      <c r="A36" s="3" t="s">
        <v>737</v>
      </c>
      <c r="B36" s="3" t="s">
        <v>738</v>
      </c>
      <c r="C36" s="3" t="s">
        <v>639</v>
      </c>
      <c r="D36" s="3" t="n">
        <v>10</v>
      </c>
      <c r="E36" s="3" t="s">
        <v>650</v>
      </c>
      <c r="F36" s="3" t="s">
        <v>739</v>
      </c>
    </row>
    <row r="37" customFormat="false" ht="21.75" hidden="false" customHeight="true" outlineLevel="0" collapsed="false">
      <c r="A37" s="3" t="s">
        <v>740</v>
      </c>
      <c r="B37" s="3" t="s">
        <v>741</v>
      </c>
      <c r="C37" s="3" t="s">
        <v>639</v>
      </c>
      <c r="D37" s="3" t="n">
        <v>10</v>
      </c>
      <c r="E37" s="3" t="s">
        <v>650</v>
      </c>
      <c r="F37" s="3" t="s">
        <v>742</v>
      </c>
    </row>
    <row r="38" customFormat="false" ht="21.75" hidden="false" customHeight="true" outlineLevel="0" collapsed="false">
      <c r="A38" s="3" t="s">
        <v>743</v>
      </c>
      <c r="B38" s="3" t="s">
        <v>744</v>
      </c>
      <c r="C38" s="3" t="s">
        <v>639</v>
      </c>
      <c r="D38" s="3" t="n">
        <v>10</v>
      </c>
      <c r="E38" s="3" t="s">
        <v>660</v>
      </c>
      <c r="F38" s="3" t="s">
        <v>745</v>
      </c>
    </row>
    <row r="39" customFormat="false" ht="21.75" hidden="false" customHeight="true" outlineLevel="0" collapsed="false">
      <c r="A39" s="3" t="s">
        <v>746</v>
      </c>
      <c r="B39" s="3" t="s">
        <v>747</v>
      </c>
      <c r="C39" s="3" t="s">
        <v>639</v>
      </c>
      <c r="D39" s="3" t="n">
        <v>10</v>
      </c>
      <c r="E39" s="3" t="s">
        <v>660</v>
      </c>
      <c r="F39" s="3" t="s">
        <v>748</v>
      </c>
    </row>
    <row r="40" customFormat="false" ht="21.75" hidden="false" customHeight="true" outlineLevel="0" collapsed="false">
      <c r="A40" s="3" t="s">
        <v>749</v>
      </c>
      <c r="B40" s="3" t="s">
        <v>750</v>
      </c>
      <c r="C40" s="3" t="s">
        <v>639</v>
      </c>
      <c r="D40" s="3" t="n">
        <v>8</v>
      </c>
      <c r="E40" s="3" t="s">
        <v>660</v>
      </c>
      <c r="F40" s="3" t="s">
        <v>751</v>
      </c>
    </row>
    <row r="41" customFormat="false" ht="21.75" hidden="false" customHeight="true" outlineLevel="0" collapsed="false">
      <c r="A41" s="3" t="s">
        <v>752</v>
      </c>
      <c r="B41" s="3" t="s">
        <v>753</v>
      </c>
      <c r="C41" s="3" t="s">
        <v>639</v>
      </c>
      <c r="D41" s="3" t="n">
        <v>8</v>
      </c>
      <c r="E41" s="3" t="s">
        <v>650</v>
      </c>
      <c r="F41" s="3" t="s">
        <v>754</v>
      </c>
    </row>
    <row r="42" customFormat="false" ht="21.75" hidden="false" customHeight="true" outlineLevel="0" collapsed="false">
      <c r="A42" s="3" t="s">
        <v>755</v>
      </c>
      <c r="B42" s="3" t="s">
        <v>756</v>
      </c>
      <c r="C42" s="3" t="s">
        <v>639</v>
      </c>
      <c r="D42" s="3" t="n">
        <v>8</v>
      </c>
      <c r="E42" s="3" t="s">
        <v>650</v>
      </c>
      <c r="F42" s="3" t="s">
        <v>757</v>
      </c>
    </row>
    <row r="43" customFormat="false" ht="21.75" hidden="false" customHeight="true" outlineLevel="0" collapsed="false">
      <c r="A43" s="3" t="s">
        <v>758</v>
      </c>
      <c r="B43" s="3" t="s">
        <v>759</v>
      </c>
      <c r="C43" s="3" t="s">
        <v>639</v>
      </c>
      <c r="D43" s="3" t="n">
        <v>8</v>
      </c>
      <c r="E43" s="3" t="s">
        <v>650</v>
      </c>
      <c r="F43" s="3" t="s">
        <v>760</v>
      </c>
    </row>
    <row r="44" customFormat="false" ht="21.75" hidden="false" customHeight="true" outlineLevel="0" collapsed="false">
      <c r="A44" s="3" t="s">
        <v>761</v>
      </c>
      <c r="B44" s="3" t="s">
        <v>762</v>
      </c>
      <c r="C44" s="3" t="s">
        <v>639</v>
      </c>
      <c r="D44" s="3" t="n">
        <v>8</v>
      </c>
      <c r="E44" s="3" t="s">
        <v>650</v>
      </c>
      <c r="F44" s="3" t="s">
        <v>763</v>
      </c>
    </row>
    <row r="45" customFormat="false" ht="21.75" hidden="false" customHeight="true" outlineLevel="0" collapsed="false">
      <c r="A45" s="3" t="s">
        <v>764</v>
      </c>
      <c r="B45" s="3" t="s">
        <v>765</v>
      </c>
      <c r="C45" s="3" t="s">
        <v>639</v>
      </c>
      <c r="D45" s="3" t="n">
        <v>8</v>
      </c>
      <c r="E45" s="3" t="s">
        <v>650</v>
      </c>
      <c r="F45" s="3" t="s">
        <v>766</v>
      </c>
    </row>
    <row r="46" customFormat="false" ht="21.75" hidden="false" customHeight="true" outlineLevel="0" collapsed="false">
      <c r="A46" s="3" t="s">
        <v>767</v>
      </c>
      <c r="B46" s="3" t="s">
        <v>768</v>
      </c>
      <c r="C46" s="3" t="s">
        <v>639</v>
      </c>
      <c r="D46" s="3" t="n">
        <v>8</v>
      </c>
      <c r="E46" s="3" t="s">
        <v>650</v>
      </c>
      <c r="F46" s="3" t="s">
        <v>769</v>
      </c>
    </row>
    <row r="47" customFormat="false" ht="21.75" hidden="false" customHeight="true" outlineLevel="0" collapsed="false">
      <c r="A47" s="3" t="s">
        <v>770</v>
      </c>
      <c r="B47" s="3" t="s">
        <v>771</v>
      </c>
      <c r="C47" s="3" t="s">
        <v>639</v>
      </c>
      <c r="D47" s="3" t="n">
        <v>6</v>
      </c>
      <c r="E47" s="3" t="s">
        <v>650</v>
      </c>
      <c r="F47" s="3" t="s">
        <v>772</v>
      </c>
    </row>
    <row r="48" customFormat="false" ht="21.75" hidden="false" customHeight="true" outlineLevel="0" collapsed="false">
      <c r="A48" s="3" t="s">
        <v>773</v>
      </c>
      <c r="B48" s="3" t="s">
        <v>774</v>
      </c>
      <c r="C48" s="3" t="s">
        <v>639</v>
      </c>
      <c r="D48" s="3" t="n">
        <v>6</v>
      </c>
      <c r="E48" s="3" t="s">
        <v>660</v>
      </c>
      <c r="F48" s="3" t="s">
        <v>775</v>
      </c>
    </row>
    <row r="49" customFormat="false" ht="21.75" hidden="false" customHeight="true" outlineLevel="0" collapsed="false">
      <c r="A49" s="3" t="s">
        <v>776</v>
      </c>
      <c r="B49" s="3" t="s">
        <v>777</v>
      </c>
      <c r="C49" s="3" t="s">
        <v>639</v>
      </c>
      <c r="D49" s="3" t="n">
        <v>6</v>
      </c>
      <c r="E49" s="3" t="s">
        <v>650</v>
      </c>
      <c r="F49" s="3" t="s">
        <v>778</v>
      </c>
    </row>
    <row r="50" customFormat="false" ht="21.75" hidden="false" customHeight="true" outlineLevel="0" collapsed="false">
      <c r="A50" s="3" t="s">
        <v>779</v>
      </c>
      <c r="B50" s="3" t="s">
        <v>780</v>
      </c>
      <c r="C50" s="3" t="s">
        <v>639</v>
      </c>
      <c r="D50" s="3" t="n">
        <v>6</v>
      </c>
      <c r="E50" s="3" t="s">
        <v>650</v>
      </c>
      <c r="F50" s="3" t="s">
        <v>781</v>
      </c>
    </row>
    <row r="51" customFormat="false" ht="21.75" hidden="false" customHeight="true" outlineLevel="0" collapsed="false">
      <c r="A51" s="3" t="s">
        <v>782</v>
      </c>
      <c r="B51" s="3" t="s">
        <v>783</v>
      </c>
      <c r="C51" s="3" t="s">
        <v>639</v>
      </c>
      <c r="D51" s="3" t="n">
        <v>6</v>
      </c>
      <c r="E51" s="3" t="s">
        <v>650</v>
      </c>
      <c r="F51" s="3" t="s">
        <v>784</v>
      </c>
    </row>
    <row r="52" customFormat="false" ht="21.75" hidden="false" customHeight="true" outlineLevel="0" collapsed="false">
      <c r="A52" s="3" t="s">
        <v>785</v>
      </c>
      <c r="B52" s="3" t="s">
        <v>786</v>
      </c>
      <c r="C52" s="3" t="s">
        <v>639</v>
      </c>
      <c r="D52" s="3" t="n">
        <v>6</v>
      </c>
      <c r="E52" s="3" t="s">
        <v>660</v>
      </c>
      <c r="F52" s="3" t="s">
        <v>787</v>
      </c>
    </row>
    <row r="53" customFormat="false" ht="21.75" hidden="false" customHeight="true" outlineLevel="0" collapsed="false">
      <c r="A53" s="3" t="s">
        <v>788</v>
      </c>
      <c r="B53" s="3" t="s">
        <v>789</v>
      </c>
      <c r="C53" s="3" t="s">
        <v>642</v>
      </c>
      <c r="D53" s="3" t="n">
        <v>5</v>
      </c>
      <c r="E53" s="3" t="s">
        <v>790</v>
      </c>
      <c r="F53" s="3" t="s">
        <v>791</v>
      </c>
    </row>
    <row r="54" customFormat="false" ht="21.75" hidden="false" customHeight="true" outlineLevel="0" collapsed="false">
      <c r="A54" s="3" t="s">
        <v>792</v>
      </c>
      <c r="B54" s="3" t="s">
        <v>793</v>
      </c>
      <c r="C54" s="3" t="s">
        <v>642</v>
      </c>
      <c r="D54" s="3" t="n">
        <v>5</v>
      </c>
      <c r="E54" s="3" t="s">
        <v>650</v>
      </c>
      <c r="F54" s="3" t="s">
        <v>794</v>
      </c>
    </row>
    <row r="55" customFormat="false" ht="21.75" hidden="false" customHeight="true" outlineLevel="0" collapsed="false">
      <c r="A55" s="3" t="s">
        <v>795</v>
      </c>
      <c r="B55" s="3" t="s">
        <v>796</v>
      </c>
      <c r="C55" s="3" t="s">
        <v>642</v>
      </c>
      <c r="D55" s="3" t="n">
        <v>5</v>
      </c>
      <c r="E55" s="3" t="s">
        <v>650</v>
      </c>
      <c r="F55" s="3" t="s">
        <v>797</v>
      </c>
    </row>
    <row r="56" customFormat="false" ht="21.75" hidden="false" customHeight="true" outlineLevel="0" collapsed="false">
      <c r="A56" s="3" t="s">
        <v>798</v>
      </c>
      <c r="B56" s="3" t="s">
        <v>799</v>
      </c>
      <c r="C56" s="3" t="s">
        <v>642</v>
      </c>
      <c r="D56" s="3" t="n">
        <v>4</v>
      </c>
      <c r="E56" s="3" t="s">
        <v>790</v>
      </c>
      <c r="F56" s="3" t="s">
        <v>800</v>
      </c>
    </row>
    <row r="57" customFormat="false" ht="21.75" hidden="false" customHeight="true" outlineLevel="0" collapsed="false">
      <c r="A57" s="3" t="s">
        <v>801</v>
      </c>
      <c r="B57" s="3" t="s">
        <v>802</v>
      </c>
      <c r="C57" s="3" t="s">
        <v>642</v>
      </c>
      <c r="D57" s="3" t="n">
        <v>4</v>
      </c>
      <c r="E57" s="3" t="s">
        <v>790</v>
      </c>
      <c r="F57" s="3" t="s">
        <v>803</v>
      </c>
    </row>
    <row r="58" customFormat="false" ht="21.75" hidden="false" customHeight="true" outlineLevel="0" collapsed="false">
      <c r="A58" s="3" t="s">
        <v>804</v>
      </c>
      <c r="B58" s="3" t="s">
        <v>805</v>
      </c>
      <c r="C58" s="3" t="s">
        <v>642</v>
      </c>
      <c r="D58" s="3" t="n">
        <v>4</v>
      </c>
      <c r="E58" s="3" t="s">
        <v>650</v>
      </c>
      <c r="F58" s="3" t="s">
        <v>806</v>
      </c>
    </row>
    <row r="59" customFormat="false" ht="21.75" hidden="false" customHeight="true" outlineLevel="0" collapsed="false">
      <c r="A59" s="3" t="s">
        <v>807</v>
      </c>
      <c r="B59" s="3" t="s">
        <v>808</v>
      </c>
      <c r="C59" s="3" t="s">
        <v>642</v>
      </c>
      <c r="D59" s="3" t="n">
        <v>4</v>
      </c>
      <c r="E59" s="3" t="s">
        <v>790</v>
      </c>
      <c r="F59" s="3" t="s">
        <v>809</v>
      </c>
    </row>
    <row r="60" customFormat="false" ht="21.75" hidden="false" customHeight="true" outlineLevel="0" collapsed="false">
      <c r="A60" s="3" t="s">
        <v>810</v>
      </c>
      <c r="B60" s="3" t="s">
        <v>811</v>
      </c>
      <c r="C60" s="3" t="s">
        <v>642</v>
      </c>
      <c r="D60" s="3" t="n">
        <v>4</v>
      </c>
      <c r="E60" s="3" t="s">
        <v>790</v>
      </c>
      <c r="F60" s="3" t="s">
        <v>812</v>
      </c>
    </row>
    <row r="61" customFormat="false" ht="21.75" hidden="false" customHeight="true" outlineLevel="0" collapsed="false">
      <c r="A61" s="3" t="s">
        <v>813</v>
      </c>
      <c r="B61" s="3" t="s">
        <v>814</v>
      </c>
      <c r="C61" s="3" t="s">
        <v>642</v>
      </c>
      <c r="D61" s="3" t="n">
        <v>4</v>
      </c>
      <c r="E61" s="3" t="s">
        <v>650</v>
      </c>
      <c r="F61" s="3" t="s">
        <v>815</v>
      </c>
    </row>
    <row r="62" customFormat="false" ht="21.75" hidden="false" customHeight="true" outlineLevel="0" collapsed="false">
      <c r="A62" s="3" t="s">
        <v>816</v>
      </c>
      <c r="B62" s="3" t="s">
        <v>817</v>
      </c>
      <c r="C62" s="3" t="s">
        <v>642</v>
      </c>
      <c r="D62" s="3" t="n">
        <v>4</v>
      </c>
      <c r="E62" s="3" t="s">
        <v>790</v>
      </c>
      <c r="F62" s="3" t="s">
        <v>818</v>
      </c>
    </row>
    <row r="63" customFormat="false" ht="21.75" hidden="false" customHeight="true" outlineLevel="0" collapsed="false">
      <c r="A63" s="3" t="s">
        <v>819</v>
      </c>
      <c r="B63" s="3" t="s">
        <v>820</v>
      </c>
      <c r="C63" s="3" t="s">
        <v>642</v>
      </c>
      <c r="D63" s="3" t="n">
        <v>3</v>
      </c>
      <c r="E63" s="3" t="s">
        <v>790</v>
      </c>
      <c r="F63" s="3" t="s">
        <v>821</v>
      </c>
    </row>
    <row r="64" customFormat="false" ht="21.75" hidden="false" customHeight="true" outlineLevel="0" collapsed="false">
      <c r="A64" s="3" t="s">
        <v>822</v>
      </c>
      <c r="B64" s="3" t="s">
        <v>823</v>
      </c>
      <c r="C64" s="3" t="s">
        <v>642</v>
      </c>
      <c r="D64" s="3" t="n">
        <v>3</v>
      </c>
      <c r="E64" s="3" t="s">
        <v>790</v>
      </c>
      <c r="F64" s="3" t="s">
        <v>824</v>
      </c>
    </row>
    <row r="65" customFormat="false" ht="21.75" hidden="false" customHeight="true" outlineLevel="0" collapsed="false">
      <c r="A65" s="3" t="s">
        <v>825</v>
      </c>
      <c r="B65" s="3" t="s">
        <v>826</v>
      </c>
      <c r="C65" s="3" t="s">
        <v>642</v>
      </c>
      <c r="D65" s="3" t="n">
        <v>3</v>
      </c>
      <c r="E65" s="3" t="s">
        <v>790</v>
      </c>
      <c r="F65" s="3" t="s">
        <v>827</v>
      </c>
    </row>
    <row r="66" customFormat="false" ht="21.75" hidden="false" customHeight="true" outlineLevel="0" collapsed="false">
      <c r="A66" s="3" t="s">
        <v>828</v>
      </c>
      <c r="B66" s="3" t="s">
        <v>829</v>
      </c>
      <c r="C66" s="3" t="s">
        <v>642</v>
      </c>
      <c r="D66" s="3" t="n">
        <v>3</v>
      </c>
      <c r="E66" s="3" t="s">
        <v>790</v>
      </c>
      <c r="F66" s="3" t="s">
        <v>830</v>
      </c>
    </row>
    <row r="67" customFormat="false" ht="21.75" hidden="false" customHeight="true" outlineLevel="0" collapsed="false">
      <c r="A67" s="3" t="s">
        <v>831</v>
      </c>
      <c r="B67" s="3" t="s">
        <v>832</v>
      </c>
      <c r="C67" s="3" t="s">
        <v>642</v>
      </c>
      <c r="D67" s="3" t="n">
        <v>3</v>
      </c>
      <c r="E67" s="3" t="s">
        <v>790</v>
      </c>
      <c r="F67" s="3" t="s">
        <v>830</v>
      </c>
    </row>
    <row r="68" customFormat="false" ht="21.75" hidden="false" customHeight="true" outlineLevel="0" collapsed="false">
      <c r="A68" s="3" t="s">
        <v>833</v>
      </c>
      <c r="B68" s="3" t="s">
        <v>834</v>
      </c>
      <c r="C68" s="3" t="s">
        <v>642</v>
      </c>
      <c r="D68" s="3" t="n">
        <v>3</v>
      </c>
      <c r="E68" s="3" t="s">
        <v>790</v>
      </c>
      <c r="F68" s="3" t="s">
        <v>824</v>
      </c>
    </row>
    <row r="69" customFormat="false" ht="21.75" hidden="false" customHeight="true" outlineLevel="0" collapsed="false">
      <c r="A69" s="3" t="s">
        <v>835</v>
      </c>
      <c r="B69" s="3" t="s">
        <v>836</v>
      </c>
      <c r="C69" s="3" t="s">
        <v>642</v>
      </c>
      <c r="D69" s="3" t="n">
        <v>3</v>
      </c>
      <c r="E69" s="3" t="s">
        <v>790</v>
      </c>
      <c r="F69" s="3" t="s">
        <v>837</v>
      </c>
    </row>
    <row r="70" customFormat="false" ht="21.75" hidden="false" customHeight="true" outlineLevel="0" collapsed="false">
      <c r="A70" s="3" t="s">
        <v>838</v>
      </c>
      <c r="B70" s="3" t="s">
        <v>839</v>
      </c>
      <c r="C70" s="3" t="s">
        <v>642</v>
      </c>
      <c r="D70" s="3" t="n">
        <v>3</v>
      </c>
      <c r="E70" s="3" t="s">
        <v>790</v>
      </c>
      <c r="F70" s="3" t="s">
        <v>830</v>
      </c>
    </row>
    <row r="71" customFormat="false" ht="21.75" hidden="false" customHeight="true" outlineLevel="0" collapsed="false">
      <c r="A71" s="3" t="s">
        <v>840</v>
      </c>
      <c r="B71" s="3" t="s">
        <v>841</v>
      </c>
      <c r="C71" s="3" t="s">
        <v>642</v>
      </c>
      <c r="D71" s="3" t="n">
        <v>3</v>
      </c>
      <c r="E71" s="3" t="s">
        <v>790</v>
      </c>
      <c r="F71" s="3" t="s">
        <v>842</v>
      </c>
    </row>
    <row r="72" customFormat="false" ht="21.75" hidden="false" customHeight="true" outlineLevel="0" collapsed="false">
      <c r="A72" s="3" t="s">
        <v>843</v>
      </c>
      <c r="B72" s="3" t="s">
        <v>844</v>
      </c>
      <c r="C72" s="3" t="s">
        <v>642</v>
      </c>
      <c r="D72" s="3" t="n">
        <v>3</v>
      </c>
      <c r="E72" s="3" t="s">
        <v>790</v>
      </c>
      <c r="F72" s="3" t="s">
        <v>845</v>
      </c>
    </row>
    <row r="73" customFormat="false" ht="21.75" hidden="false" customHeight="true" outlineLevel="0" collapsed="false">
      <c r="A73" s="3" t="s">
        <v>846</v>
      </c>
      <c r="B73" s="3" t="s">
        <v>847</v>
      </c>
      <c r="C73" s="3" t="s">
        <v>642</v>
      </c>
      <c r="D73" s="3" t="n">
        <v>3</v>
      </c>
      <c r="E73" s="3" t="s">
        <v>790</v>
      </c>
      <c r="F73" s="3" t="s">
        <v>848</v>
      </c>
    </row>
    <row r="74" customFormat="false" ht="21.75" hidden="false" customHeight="true" outlineLevel="0" collapsed="false">
      <c r="A74" s="3" t="s">
        <v>849</v>
      </c>
      <c r="B74" s="3" t="s">
        <v>850</v>
      </c>
      <c r="C74" s="3" t="s">
        <v>642</v>
      </c>
      <c r="D74" s="3" t="n">
        <v>3</v>
      </c>
      <c r="E74" s="3" t="s">
        <v>790</v>
      </c>
      <c r="F74" s="3" t="s">
        <v>851</v>
      </c>
    </row>
    <row r="75" customFormat="false" ht="21.75" hidden="false" customHeight="true" outlineLevel="0" collapsed="false">
      <c r="A75" s="3" t="s">
        <v>852</v>
      </c>
      <c r="B75" s="3" t="s">
        <v>853</v>
      </c>
      <c r="C75" s="3" t="s">
        <v>642</v>
      </c>
      <c r="D75" s="3" t="n">
        <v>3</v>
      </c>
      <c r="E75" s="3" t="s">
        <v>790</v>
      </c>
      <c r="F75" s="3" t="s">
        <v>854</v>
      </c>
    </row>
    <row r="76" customFormat="false" ht="21.75" hidden="false" customHeight="true" outlineLevel="0" collapsed="false">
      <c r="A76" s="3" t="s">
        <v>855</v>
      </c>
      <c r="B76" s="3" t="s">
        <v>856</v>
      </c>
      <c r="C76" s="3" t="s">
        <v>642</v>
      </c>
      <c r="D76" s="3" t="n">
        <v>3</v>
      </c>
      <c r="E76" s="3" t="s">
        <v>790</v>
      </c>
      <c r="F76" s="3" t="s">
        <v>854</v>
      </c>
    </row>
    <row r="77" customFormat="false" ht="21.75" hidden="false" customHeight="true" outlineLevel="0" collapsed="false">
      <c r="A77" s="3" t="s">
        <v>857</v>
      </c>
      <c r="B77" s="3" t="s">
        <v>858</v>
      </c>
      <c r="C77" s="3" t="s">
        <v>642</v>
      </c>
      <c r="D77" s="3" t="n">
        <v>3</v>
      </c>
      <c r="E77" s="3" t="s">
        <v>790</v>
      </c>
      <c r="F77" s="3" t="s">
        <v>859</v>
      </c>
    </row>
    <row r="78" customFormat="false" ht="21.75" hidden="false" customHeight="true" outlineLevel="0" collapsed="false">
      <c r="A78" s="3" t="s">
        <v>860</v>
      </c>
      <c r="B78" s="3" t="s">
        <v>861</v>
      </c>
      <c r="C78" s="3" t="s">
        <v>642</v>
      </c>
      <c r="D78" s="3" t="n">
        <v>3</v>
      </c>
      <c r="E78" s="3" t="s">
        <v>790</v>
      </c>
      <c r="F78" s="3" t="s">
        <v>842</v>
      </c>
    </row>
    <row r="79" customFormat="false" ht="21.75" hidden="false" customHeight="true" outlineLevel="0" collapsed="false">
      <c r="A79" s="3" t="s">
        <v>862</v>
      </c>
      <c r="B79" s="3" t="s">
        <v>863</v>
      </c>
      <c r="C79" s="3" t="s">
        <v>642</v>
      </c>
      <c r="D79" s="3" t="n">
        <v>3</v>
      </c>
      <c r="E79" s="3" t="s">
        <v>790</v>
      </c>
      <c r="F79" s="3" t="s">
        <v>864</v>
      </c>
    </row>
    <row r="80" customFormat="false" ht="21.75" hidden="false" customHeight="true" outlineLevel="0" collapsed="false">
      <c r="A80" s="3" t="s">
        <v>865</v>
      </c>
      <c r="B80" s="3" t="s">
        <v>866</v>
      </c>
      <c r="C80" s="3" t="s">
        <v>642</v>
      </c>
      <c r="D80" s="3" t="n">
        <v>3</v>
      </c>
      <c r="E80" s="3" t="s">
        <v>790</v>
      </c>
      <c r="F80" s="3" t="s">
        <v>842</v>
      </c>
    </row>
    <row r="81" customFormat="false" ht="21.75" hidden="false" customHeight="true" outlineLevel="0" collapsed="false">
      <c r="A81" s="3" t="s">
        <v>867</v>
      </c>
      <c r="B81" s="3" t="s">
        <v>868</v>
      </c>
      <c r="C81" s="3" t="s">
        <v>642</v>
      </c>
      <c r="D81" s="3" t="n">
        <v>3</v>
      </c>
      <c r="E81" s="3" t="s">
        <v>790</v>
      </c>
      <c r="F81" s="3" t="s">
        <v>842</v>
      </c>
    </row>
    <row r="82" customFormat="false" ht="21.75" hidden="false" customHeight="true" outlineLevel="0" collapsed="false">
      <c r="A82" s="3" t="s">
        <v>869</v>
      </c>
      <c r="B82" s="3" t="s">
        <v>870</v>
      </c>
      <c r="C82" s="3" t="s">
        <v>642</v>
      </c>
      <c r="D82" s="3" t="n">
        <v>3</v>
      </c>
      <c r="E82" s="3" t="s">
        <v>660</v>
      </c>
      <c r="F82" s="3" t="s">
        <v>871</v>
      </c>
    </row>
    <row r="83" customFormat="false" ht="21.75" hidden="false" customHeight="true" outlineLevel="0" collapsed="false">
      <c r="A83" s="3" t="s">
        <v>872</v>
      </c>
      <c r="B83" s="3" t="s">
        <v>873</v>
      </c>
      <c r="C83" s="3" t="s">
        <v>642</v>
      </c>
      <c r="D83" s="3" t="n">
        <v>3</v>
      </c>
      <c r="E83" s="3" t="s">
        <v>790</v>
      </c>
      <c r="F83" s="3" t="s">
        <v>800</v>
      </c>
    </row>
    <row r="84" customFormat="false" ht="21.75" hidden="false" customHeight="true" outlineLevel="0" collapsed="false">
      <c r="A84" s="3" t="s">
        <v>874</v>
      </c>
      <c r="B84" s="3" t="s">
        <v>875</v>
      </c>
      <c r="C84" s="3" t="s">
        <v>642</v>
      </c>
      <c r="D84" s="3" t="n">
        <v>3</v>
      </c>
      <c r="E84" s="3" t="s">
        <v>790</v>
      </c>
      <c r="F84" s="3" t="s">
        <v>842</v>
      </c>
    </row>
    <row r="85" customFormat="false" ht="21.75" hidden="false" customHeight="true" outlineLevel="0" collapsed="false">
      <c r="A85" s="3" t="s">
        <v>876</v>
      </c>
      <c r="B85" s="3" t="s">
        <v>877</v>
      </c>
      <c r="C85" s="3" t="s">
        <v>642</v>
      </c>
      <c r="D85" s="3" t="n">
        <v>3</v>
      </c>
      <c r="E85" s="3" t="s">
        <v>790</v>
      </c>
      <c r="F85" s="3" t="s">
        <v>781</v>
      </c>
    </row>
    <row r="86" customFormat="false" ht="21.75" hidden="false" customHeight="true" outlineLevel="0" collapsed="false">
      <c r="A86" s="3" t="s">
        <v>878</v>
      </c>
      <c r="B86" s="3" t="s">
        <v>879</v>
      </c>
      <c r="C86" s="3" t="s">
        <v>642</v>
      </c>
      <c r="D86" s="3" t="n">
        <v>3</v>
      </c>
      <c r="E86" s="3" t="s">
        <v>790</v>
      </c>
      <c r="F86" s="3" t="s">
        <v>859</v>
      </c>
    </row>
    <row r="87" customFormat="false" ht="21.75" hidden="false" customHeight="true" outlineLevel="0" collapsed="false">
      <c r="A87" s="3" t="s">
        <v>880</v>
      </c>
      <c r="B87" s="3" t="s">
        <v>881</v>
      </c>
      <c r="C87" s="3" t="s">
        <v>642</v>
      </c>
      <c r="D87" s="3" t="n">
        <v>3</v>
      </c>
      <c r="E87" s="3" t="s">
        <v>790</v>
      </c>
      <c r="F87" s="3" t="s">
        <v>830</v>
      </c>
    </row>
    <row r="88" customFormat="false" ht="21.75" hidden="false" customHeight="true" outlineLevel="0" collapsed="false">
      <c r="A88" s="3" t="s">
        <v>882</v>
      </c>
      <c r="B88" s="3" t="s">
        <v>883</v>
      </c>
      <c r="C88" s="3" t="s">
        <v>642</v>
      </c>
      <c r="D88" s="3" t="n">
        <v>3</v>
      </c>
      <c r="E88" s="3" t="s">
        <v>790</v>
      </c>
      <c r="F88" s="3" t="s">
        <v>884</v>
      </c>
    </row>
    <row r="89" customFormat="false" ht="21.75" hidden="false" customHeight="true" outlineLevel="0" collapsed="false">
      <c r="A89" s="3" t="s">
        <v>885</v>
      </c>
      <c r="B89" s="3" t="s">
        <v>886</v>
      </c>
      <c r="C89" s="3" t="s">
        <v>642</v>
      </c>
      <c r="D89" s="3" t="n">
        <v>3</v>
      </c>
      <c r="E89" s="3" t="s">
        <v>790</v>
      </c>
      <c r="F89" s="3" t="s">
        <v>842</v>
      </c>
    </row>
    <row r="90" customFormat="false" ht="21.75" hidden="false" customHeight="true" outlineLevel="0" collapsed="false">
      <c r="A90" s="3" t="s">
        <v>887</v>
      </c>
      <c r="B90" s="3" t="s">
        <v>888</v>
      </c>
      <c r="C90" s="3" t="s">
        <v>642</v>
      </c>
      <c r="D90" s="3" t="n">
        <v>3</v>
      </c>
      <c r="E90" s="3" t="s">
        <v>790</v>
      </c>
      <c r="F90" s="3" t="s">
        <v>842</v>
      </c>
    </row>
    <row r="91" customFormat="false" ht="21.75" hidden="false" customHeight="true" outlineLevel="0" collapsed="false">
      <c r="A91" s="3" t="s">
        <v>889</v>
      </c>
      <c r="B91" s="3" t="s">
        <v>890</v>
      </c>
      <c r="C91" s="3" t="s">
        <v>642</v>
      </c>
      <c r="D91" s="3" t="n">
        <v>2</v>
      </c>
      <c r="E91" s="3" t="s">
        <v>790</v>
      </c>
      <c r="F91" s="3" t="s">
        <v>891</v>
      </c>
    </row>
    <row r="92" customFormat="false" ht="21.75" hidden="false" customHeight="true" outlineLevel="0" collapsed="false">
      <c r="A92" s="3" t="s">
        <v>892</v>
      </c>
      <c r="B92" s="3" t="s">
        <v>893</v>
      </c>
      <c r="C92" s="3" t="s">
        <v>642</v>
      </c>
      <c r="D92" s="3" t="n">
        <v>2</v>
      </c>
      <c r="E92" s="3" t="s">
        <v>790</v>
      </c>
      <c r="F92" s="3" t="s">
        <v>842</v>
      </c>
    </row>
    <row r="93" customFormat="false" ht="21.75" hidden="false" customHeight="true" outlineLevel="0" collapsed="false">
      <c r="A93" s="3" t="s">
        <v>894</v>
      </c>
      <c r="B93" s="3" t="s">
        <v>895</v>
      </c>
      <c r="C93" s="3" t="s">
        <v>645</v>
      </c>
      <c r="D93" s="3" t="n">
        <v>0</v>
      </c>
      <c r="E93" s="3" t="s">
        <v>790</v>
      </c>
      <c r="F93" s="3" t="s">
        <v>896</v>
      </c>
    </row>
    <row r="94" customFormat="false" ht="21.75" hidden="false" customHeight="true" outlineLevel="0" collapsed="false">
      <c r="A94" s="3" t="s">
        <v>897</v>
      </c>
      <c r="B94" s="3" t="s">
        <v>898</v>
      </c>
      <c r="C94" s="3" t="s">
        <v>645</v>
      </c>
      <c r="D94" s="3" t="n">
        <v>0</v>
      </c>
      <c r="E94" s="3" t="s">
        <v>790</v>
      </c>
      <c r="F94" s="3" t="s">
        <v>899</v>
      </c>
    </row>
    <row r="95" customFormat="false" ht="21.75" hidden="false" customHeight="true" outlineLevel="0" collapsed="false">
      <c r="A95" s="3" t="s">
        <v>900</v>
      </c>
      <c r="B95" s="3" t="s">
        <v>901</v>
      </c>
      <c r="C95" s="3" t="s">
        <v>645</v>
      </c>
      <c r="D95" s="3" t="n">
        <v>0</v>
      </c>
      <c r="E95" s="3" t="s">
        <v>790</v>
      </c>
      <c r="F95" s="3" t="s">
        <v>902</v>
      </c>
    </row>
    <row r="96" customFormat="false" ht="21.75" hidden="false" customHeight="true" outlineLevel="0" collapsed="false">
      <c r="A96" s="3" t="s">
        <v>903</v>
      </c>
      <c r="B96" s="3" t="s">
        <v>904</v>
      </c>
      <c r="C96" s="3" t="s">
        <v>645</v>
      </c>
      <c r="D96" s="3" t="n">
        <v>0</v>
      </c>
      <c r="E96" s="3" t="s">
        <v>790</v>
      </c>
      <c r="F96" s="3" t="s">
        <v>905</v>
      </c>
    </row>
    <row r="97" customFormat="false" ht="21.75" hidden="false" customHeight="true" outlineLevel="0" collapsed="false">
      <c r="A97" s="3" t="s">
        <v>906</v>
      </c>
      <c r="B97" s="3" t="s">
        <v>907</v>
      </c>
      <c r="C97" s="3" t="s">
        <v>645</v>
      </c>
      <c r="D97" s="3" t="n">
        <v>0</v>
      </c>
      <c r="E97" s="3" t="s">
        <v>790</v>
      </c>
      <c r="F97" s="3" t="s">
        <v>908</v>
      </c>
    </row>
    <row r="98" customFormat="false" ht="21.75" hidden="false" customHeight="true" outlineLevel="0" collapsed="false">
      <c r="A98" s="3" t="s">
        <v>909</v>
      </c>
      <c r="B98" s="3" t="s">
        <v>910</v>
      </c>
      <c r="C98" s="3" t="s">
        <v>645</v>
      </c>
      <c r="D98" s="3" t="n">
        <v>0</v>
      </c>
      <c r="E98" s="3" t="s">
        <v>790</v>
      </c>
      <c r="F98" s="3" t="s">
        <v>842</v>
      </c>
    </row>
    <row r="99" customFormat="false" ht="21.75" hidden="false" customHeight="true" outlineLevel="0" collapsed="false">
      <c r="A99" s="3" t="s">
        <v>911</v>
      </c>
      <c r="B99" s="3" t="s">
        <v>912</v>
      </c>
      <c r="C99" s="3" t="s">
        <v>645</v>
      </c>
      <c r="D99" s="3" t="n">
        <v>0</v>
      </c>
      <c r="E99" s="3" t="s">
        <v>790</v>
      </c>
      <c r="F99" s="3" t="s">
        <v>913</v>
      </c>
    </row>
    <row r="100" customFormat="false" ht="21.75" hidden="false" customHeight="true" outlineLevel="0" collapsed="false">
      <c r="A100" s="3" t="s">
        <v>914</v>
      </c>
      <c r="B100" s="3" t="s">
        <v>915</v>
      </c>
      <c r="C100" s="3" t="s">
        <v>645</v>
      </c>
      <c r="D100" s="3" t="n">
        <v>0</v>
      </c>
      <c r="E100" s="3" t="s">
        <v>790</v>
      </c>
      <c r="F100" s="3" t="s">
        <v>899</v>
      </c>
    </row>
    <row r="101" customFormat="false" ht="21.75" hidden="false" customHeight="true" outlineLevel="0" collapsed="false">
      <c r="A101" s="3" t="s">
        <v>916</v>
      </c>
      <c r="B101" s="3" t="s">
        <v>917</v>
      </c>
      <c r="C101" s="3" t="s">
        <v>645</v>
      </c>
      <c r="D101" s="3" t="n">
        <v>0</v>
      </c>
      <c r="E101" s="3" t="s">
        <v>790</v>
      </c>
      <c r="F101" s="3" t="s">
        <v>918</v>
      </c>
    </row>
    <row r="102" customFormat="false" ht="21.75" hidden="false" customHeight="true" outlineLevel="0" collapsed="false">
      <c r="A102" s="3" t="s">
        <v>919</v>
      </c>
      <c r="B102" s="3" t="s">
        <v>920</v>
      </c>
      <c r="C102" s="3" t="s">
        <v>645</v>
      </c>
      <c r="D102" s="3" t="n">
        <v>0</v>
      </c>
      <c r="E102" s="3" t="s">
        <v>790</v>
      </c>
      <c r="F102" s="3" t="s">
        <v>921</v>
      </c>
    </row>
    <row r="103" customFormat="false" ht="21.75" hidden="false" customHeight="true" outlineLevel="0" collapsed="false">
      <c r="A103" s="3" t="s">
        <v>922</v>
      </c>
      <c r="B103" s="3" t="s">
        <v>923</v>
      </c>
      <c r="C103" s="3" t="s">
        <v>645</v>
      </c>
      <c r="D103" s="3" t="n">
        <v>0</v>
      </c>
      <c r="E103" s="3" t="s">
        <v>790</v>
      </c>
      <c r="F103" s="3" t="s">
        <v>924</v>
      </c>
    </row>
    <row r="104" customFormat="false" ht="21.75" hidden="false" customHeight="true" outlineLevel="0" collapsed="false">
      <c r="A104" s="3" t="s">
        <v>925</v>
      </c>
      <c r="B104" s="3" t="s">
        <v>926</v>
      </c>
      <c r="C104" s="3" t="s">
        <v>645</v>
      </c>
      <c r="D104" s="3" t="n">
        <v>0</v>
      </c>
      <c r="E104" s="3" t="s">
        <v>790</v>
      </c>
      <c r="F104" s="3" t="s">
        <v>927</v>
      </c>
    </row>
    <row r="105" customFormat="false" ht="21.75" hidden="false" customHeight="true" outlineLevel="0" collapsed="false">
      <c r="A105" s="3" t="s">
        <v>928</v>
      </c>
      <c r="B105" s="3" t="s">
        <v>929</v>
      </c>
      <c r="C105" s="3" t="s">
        <v>645</v>
      </c>
      <c r="D105" s="3" t="n">
        <v>0</v>
      </c>
      <c r="E105" s="3" t="s">
        <v>790</v>
      </c>
      <c r="F105" s="3" t="s">
        <v>930</v>
      </c>
    </row>
    <row r="106" customFormat="false" ht="21.75" hidden="false" customHeight="true" outlineLevel="0" collapsed="false">
      <c r="A106" s="3" t="s">
        <v>931</v>
      </c>
      <c r="B106" s="3" t="s">
        <v>932</v>
      </c>
      <c r="C106" s="3" t="s">
        <v>645</v>
      </c>
      <c r="D106" s="3" t="n">
        <v>0</v>
      </c>
      <c r="E106" s="3" t="s">
        <v>790</v>
      </c>
      <c r="F106" s="3" t="s">
        <v>933</v>
      </c>
    </row>
    <row r="107" customFormat="false" ht="21.75" hidden="false" customHeight="true" outlineLevel="0" collapsed="false">
      <c r="A107" s="3" t="s">
        <v>934</v>
      </c>
      <c r="B107" s="3" t="s">
        <v>935</v>
      </c>
      <c r="C107" s="3" t="s">
        <v>645</v>
      </c>
      <c r="D107" s="3" t="n">
        <v>0</v>
      </c>
      <c r="E107" s="3" t="s">
        <v>790</v>
      </c>
      <c r="F107" s="3" t="s">
        <v>842</v>
      </c>
    </row>
    <row r="108" customFormat="false" ht="21.75" hidden="false" customHeight="true" outlineLevel="0" collapsed="false">
      <c r="A108" s="3" t="s">
        <v>936</v>
      </c>
      <c r="B108" s="3" t="s">
        <v>937</v>
      </c>
      <c r="C108" s="3" t="s">
        <v>645</v>
      </c>
      <c r="D108" s="3" t="n">
        <v>0</v>
      </c>
      <c r="E108" s="3" t="s">
        <v>790</v>
      </c>
      <c r="F108" s="3" t="s">
        <v>842</v>
      </c>
    </row>
    <row r="109" customFormat="false" ht="21.75" hidden="false" customHeight="true" outlineLevel="0" collapsed="false">
      <c r="A109" s="3" t="s">
        <v>938</v>
      </c>
      <c r="B109" s="3" t="s">
        <v>939</v>
      </c>
      <c r="C109" s="3" t="s">
        <v>645</v>
      </c>
      <c r="D109" s="3" t="n">
        <v>0</v>
      </c>
      <c r="E109" s="3" t="s">
        <v>790</v>
      </c>
      <c r="F109" s="3" t="s">
        <v>842</v>
      </c>
    </row>
    <row r="110" customFormat="false" ht="21.75" hidden="false" customHeight="true" outlineLevel="0" collapsed="false">
      <c r="A110" s="3" t="s">
        <v>940</v>
      </c>
      <c r="B110" s="3" t="s">
        <v>941</v>
      </c>
      <c r="C110" s="3" t="s">
        <v>645</v>
      </c>
      <c r="D110" s="3" t="n">
        <v>0</v>
      </c>
      <c r="E110" s="3" t="s">
        <v>790</v>
      </c>
      <c r="F110" s="3" t="s">
        <v>902</v>
      </c>
    </row>
    <row r="111" customFormat="false" ht="21.75" hidden="false" customHeight="true" outlineLevel="0" collapsed="false">
      <c r="A111" s="3" t="s">
        <v>942</v>
      </c>
      <c r="B111" s="3" t="s">
        <v>943</v>
      </c>
      <c r="C111" s="3" t="s">
        <v>645</v>
      </c>
      <c r="D111" s="3" t="n">
        <v>0</v>
      </c>
      <c r="E111" s="3" t="s">
        <v>790</v>
      </c>
      <c r="F111" s="3" t="s">
        <v>921</v>
      </c>
    </row>
    <row r="112" customFormat="false" ht="21.75" hidden="false" customHeight="true" outlineLevel="0" collapsed="false">
      <c r="A112" s="3" t="s">
        <v>944</v>
      </c>
      <c r="B112" s="3" t="s">
        <v>945</v>
      </c>
      <c r="C112" s="3" t="s">
        <v>645</v>
      </c>
      <c r="D112" s="3" t="n">
        <v>0</v>
      </c>
      <c r="E112" s="3" t="s">
        <v>790</v>
      </c>
      <c r="F112" s="3" t="s">
        <v>921</v>
      </c>
    </row>
    <row r="113" customFormat="false" ht="21.75" hidden="false" customHeight="true" outlineLevel="0" collapsed="false">
      <c r="A113" s="3" t="s">
        <v>946</v>
      </c>
      <c r="B113" s="3" t="s">
        <v>947</v>
      </c>
      <c r="C113" s="3" t="s">
        <v>645</v>
      </c>
      <c r="D113" s="3" t="n">
        <v>0</v>
      </c>
      <c r="E113" s="3" t="s">
        <v>790</v>
      </c>
      <c r="F113" s="3" t="s">
        <v>842</v>
      </c>
    </row>
    <row r="114" customFormat="false" ht="21.75" hidden="false" customHeight="true" outlineLevel="0" collapsed="false">
      <c r="A114" s="3" t="s">
        <v>948</v>
      </c>
      <c r="B114" s="3" t="s">
        <v>949</v>
      </c>
      <c r="C114" s="3" t="s">
        <v>645</v>
      </c>
      <c r="D114" s="3" t="n">
        <v>0</v>
      </c>
      <c r="E114" s="3" t="s">
        <v>790</v>
      </c>
      <c r="F114" s="3" t="s">
        <v>950</v>
      </c>
    </row>
    <row r="115" customFormat="false" ht="21.75" hidden="false" customHeight="true" outlineLevel="0" collapsed="false">
      <c r="A115" s="3" t="s">
        <v>951</v>
      </c>
      <c r="B115" s="3" t="s">
        <v>952</v>
      </c>
      <c r="C115" s="3" t="s">
        <v>645</v>
      </c>
      <c r="D115" s="3" t="n">
        <v>0</v>
      </c>
      <c r="E115" s="3" t="s">
        <v>790</v>
      </c>
      <c r="F115" s="3" t="s">
        <v>921</v>
      </c>
    </row>
    <row r="116" customFormat="false" ht="21.75" hidden="false" customHeight="true" outlineLevel="0" collapsed="false">
      <c r="A116" s="3" t="s">
        <v>953</v>
      </c>
      <c r="B116" s="3" t="s">
        <v>954</v>
      </c>
      <c r="C116" s="3" t="s">
        <v>645</v>
      </c>
      <c r="D116" s="3" t="n">
        <v>0</v>
      </c>
      <c r="E116" s="3" t="s">
        <v>790</v>
      </c>
      <c r="F116" s="3" t="s">
        <v>905</v>
      </c>
    </row>
    <row r="117" customFormat="false" ht="21.75" hidden="false" customHeight="true" outlineLevel="0" collapsed="false">
      <c r="A117" s="3" t="s">
        <v>955</v>
      </c>
      <c r="B117" s="3" t="s">
        <v>956</v>
      </c>
      <c r="C117" s="3" t="s">
        <v>645</v>
      </c>
      <c r="D117" s="3" t="n">
        <v>0</v>
      </c>
      <c r="E117" s="3" t="s">
        <v>790</v>
      </c>
      <c r="F117" s="3" t="s">
        <v>957</v>
      </c>
    </row>
    <row r="118" customFormat="false" ht="21.75" hidden="false" customHeight="true" outlineLevel="0" collapsed="false">
      <c r="A118" s="3" t="s">
        <v>958</v>
      </c>
      <c r="B118" s="3" t="s">
        <v>959</v>
      </c>
      <c r="C118" s="3" t="s">
        <v>645</v>
      </c>
      <c r="D118" s="3" t="n">
        <v>0</v>
      </c>
      <c r="E118" s="3" t="s">
        <v>790</v>
      </c>
      <c r="F118" s="3" t="s">
        <v>842</v>
      </c>
    </row>
    <row r="119" customFormat="false" ht="21.75" hidden="false" customHeight="true" outlineLevel="0" collapsed="false">
      <c r="A119" s="3" t="s">
        <v>960</v>
      </c>
      <c r="B119" s="3" t="s">
        <v>961</v>
      </c>
      <c r="C119" s="3" t="s">
        <v>645</v>
      </c>
      <c r="D119" s="3" t="n">
        <v>0</v>
      </c>
      <c r="E119" s="3" t="s">
        <v>790</v>
      </c>
      <c r="F119" s="3" t="s">
        <v>962</v>
      </c>
    </row>
    <row r="120" customFormat="false" ht="15" hidden="false" customHeight="true" outlineLevel="0" collapsed="false">
      <c r="A120" s="3" t="s">
        <v>963</v>
      </c>
      <c r="B120" s="3" t="s">
        <v>964</v>
      </c>
      <c r="C120" s="3" t="s">
        <v>645</v>
      </c>
      <c r="D120" s="3" t="n">
        <v>0</v>
      </c>
      <c r="E120" s="3" t="s">
        <v>790</v>
      </c>
      <c r="F120" s="3" t="s">
        <v>965</v>
      </c>
    </row>
  </sheetData>
  <autoFilter ref="A1:F119"/>
  <conditionalFormatting sqref="C2:C119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5">
      <formula>"LOW"</formula>
    </cfRule>
    <cfRule type="cellIs" priority="5" operator="equal" aboveAverage="0" equalAverage="0" bottom="0" percent="0" rank="0" text="" dxfId="16">
      <formula>"NONE"</formula>
    </cfRule>
  </conditionalFormatting>
  <conditionalFormatting sqref="E2:E119">
    <cfRule type="cellIs" priority="6" operator="equal" aboveAverage="0" equalAverage="0" bottom="0" percent="0" rank="0" text="" dxfId="8">
      <formula>"Done"</formula>
    </cfRule>
    <cfRule type="cellIs" priority="7" operator="equal" aboveAverage="0" equalAverage="0" bottom="0" percent="0" rank="0" text="" dxfId="9">
      <formula>"Triage"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</cols>
  <sheetData>
    <row r="1" customFormat="false" ht="48" hidden="false" customHeight="true" outlineLevel="0" collapsed="false">
      <c r="A1" s="10" t="s">
        <v>966</v>
      </c>
      <c r="B1" s="3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11" t="s">
        <v>967</v>
      </c>
      <c r="B3" s="3"/>
    </row>
    <row r="4" customFormat="false" ht="15" hidden="false" customHeight="true" outlineLevel="0" collapsed="false">
      <c r="A4" s="3" t="s">
        <v>0</v>
      </c>
      <c r="B4" s="3" t="s">
        <v>968</v>
      </c>
    </row>
    <row r="5" customFormat="false" ht="15" hidden="false" customHeight="true" outlineLevel="0" collapsed="false">
      <c r="A5" s="3" t="s">
        <v>1</v>
      </c>
      <c r="B5" s="3" t="s">
        <v>969</v>
      </c>
    </row>
    <row r="6" customFormat="false" ht="15" hidden="false" customHeight="true" outlineLevel="0" collapsed="false">
      <c r="A6" s="3" t="s">
        <v>2</v>
      </c>
      <c r="B6" s="3" t="s">
        <v>970</v>
      </c>
    </row>
    <row r="7" customFormat="false" ht="15" hidden="false" customHeight="true" outlineLevel="0" collapsed="false">
      <c r="A7" s="3" t="s">
        <v>3</v>
      </c>
      <c r="B7" s="3" t="s">
        <v>971</v>
      </c>
    </row>
    <row r="8" customFormat="false" ht="15" hidden="false" customHeight="true" outlineLevel="0" collapsed="false">
      <c r="A8" s="3" t="s">
        <v>4</v>
      </c>
      <c r="B8" s="3" t="s">
        <v>972</v>
      </c>
    </row>
    <row r="9" customFormat="false" ht="15" hidden="false" customHeight="true" outlineLevel="0" collapsed="false">
      <c r="A9" s="3" t="s">
        <v>5</v>
      </c>
      <c r="B9" s="3" t="s">
        <v>973</v>
      </c>
    </row>
    <row r="10" customFormat="false" ht="15" hidden="false" customHeight="true" outlineLevel="0" collapsed="false">
      <c r="A10" s="3" t="s">
        <v>6</v>
      </c>
      <c r="B10" s="3" t="s">
        <v>974</v>
      </c>
    </row>
    <row r="11" customFormat="false" ht="15" hidden="false" customHeight="true" outlineLevel="0" collapsed="false">
      <c r="A11" s="3" t="s">
        <v>7</v>
      </c>
      <c r="B11" s="3" t="s">
        <v>975</v>
      </c>
    </row>
    <row r="12" customFormat="false" ht="15" hidden="false" customHeight="true" outlineLevel="0" collapsed="false">
      <c r="A12" s="3" t="s">
        <v>8</v>
      </c>
      <c r="B12" s="3" t="s">
        <v>976</v>
      </c>
    </row>
    <row r="13" customFormat="false" ht="15" hidden="false" customHeight="true" outlineLevel="0" collapsed="false">
      <c r="A13" s="3"/>
      <c r="B13" s="3"/>
    </row>
    <row r="14" customFormat="false" ht="15" hidden="false" customHeight="true" outlineLevel="0" collapsed="false">
      <c r="A14" s="11" t="s">
        <v>977</v>
      </c>
      <c r="B14" s="3"/>
    </row>
    <row r="15" customFormat="false" ht="15" hidden="false" customHeight="true" outlineLevel="0" collapsed="false">
      <c r="A15" s="3" t="s">
        <v>14</v>
      </c>
      <c r="B15" s="3" t="s">
        <v>978</v>
      </c>
    </row>
    <row r="16" customFormat="false" ht="15" hidden="false" customHeight="true" outlineLevel="0" collapsed="false">
      <c r="A16" s="3" t="s">
        <v>169</v>
      </c>
      <c r="B16" s="3" t="s">
        <v>979</v>
      </c>
    </row>
    <row r="17" customFormat="false" ht="15" hidden="false" customHeight="true" outlineLevel="0" collapsed="false">
      <c r="A17" s="3" t="s">
        <v>150</v>
      </c>
      <c r="B17" s="3" t="s">
        <v>980</v>
      </c>
    </row>
    <row r="18" customFormat="false" ht="15" hidden="false" customHeight="true" outlineLevel="0" collapsed="false">
      <c r="A18" s="3"/>
      <c r="B18" s="3"/>
    </row>
    <row r="19" customFormat="false" ht="15" hidden="false" customHeight="true" outlineLevel="0" collapsed="false">
      <c r="A19" s="11" t="s">
        <v>981</v>
      </c>
      <c r="B19" s="3"/>
    </row>
    <row r="20" customFormat="false" ht="23.25" hidden="false" customHeight="true" outlineLevel="0" collapsed="false">
      <c r="A20" s="3" t="s">
        <v>982</v>
      </c>
      <c r="B20" s="3" t="s">
        <v>983</v>
      </c>
    </row>
    <row r="21" customFormat="false" ht="23.25" hidden="false" customHeight="true" outlineLevel="0" collapsed="false">
      <c r="A21" s="3" t="s">
        <v>984</v>
      </c>
      <c r="B21" s="3" t="s">
        <v>985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11" t="s">
        <v>986</v>
      </c>
      <c r="B23" s="3"/>
    </row>
    <row r="24" customFormat="false" ht="15" hidden="false" customHeight="true" outlineLevel="0" collapsed="false">
      <c r="A24" s="3" t="s">
        <v>987</v>
      </c>
      <c r="B24" s="3" t="s">
        <v>988</v>
      </c>
    </row>
    <row r="25" customFormat="false" ht="15" hidden="false" customHeight="true" outlineLevel="0" collapsed="false">
      <c r="A25" s="3" t="s">
        <v>989</v>
      </c>
      <c r="B25" s="3" t="s">
        <v>990</v>
      </c>
    </row>
    <row r="26" customFormat="false" ht="15" hidden="false" customHeight="true" outlineLevel="0" collapsed="false">
      <c r="A26" s="3" t="s">
        <v>991</v>
      </c>
      <c r="B26" s="3" t="s">
        <v>992</v>
      </c>
    </row>
    <row r="27" customFormat="false" ht="15" hidden="false" customHeight="true" outlineLevel="0" collapsed="false">
      <c r="A27" s="3" t="s">
        <v>993</v>
      </c>
      <c r="B27" s="3" t="s">
        <v>994</v>
      </c>
    </row>
    <row r="28" customFormat="false" ht="15" hidden="false" customHeight="true" outlineLevel="0" collapsed="false">
      <c r="A28" s="3" t="s">
        <v>995</v>
      </c>
      <c r="B28" s="3" t="s">
        <v>996</v>
      </c>
    </row>
    <row r="30" customFormat="false" ht="15" hidden="false" customHeight="true" outlineLevel="0" collapsed="false">
      <c r="A30" s="8" t="s">
        <v>997</v>
      </c>
    </row>
    <row r="31" customFormat="false" ht="15" hidden="false" customHeight="true" outlineLevel="0" collapsed="false">
      <c r="A31" s="9" t="s">
        <v>13</v>
      </c>
      <c r="B31" s="3" t="s">
        <v>998</v>
      </c>
    </row>
    <row r="32" customFormat="false" ht="23.25" hidden="false" customHeight="true" outlineLevel="0" collapsed="false">
      <c r="A32" s="9" t="s">
        <v>73</v>
      </c>
      <c r="B32" s="3" t="s">
        <v>999</v>
      </c>
    </row>
    <row r="33" customFormat="false" ht="23.25" hidden="false" customHeight="true" outlineLevel="0" collapsed="false">
      <c r="A33" s="9" t="s">
        <v>499</v>
      </c>
      <c r="B33" s="3" t="s">
        <v>1000</v>
      </c>
    </row>
    <row r="34" customFormat="false" ht="23.25" hidden="false" customHeight="true" outlineLevel="0" collapsed="false">
      <c r="A34" s="9" t="s">
        <v>407</v>
      </c>
      <c r="B34" s="3" t="s">
        <v>1001</v>
      </c>
    </row>
    <row r="35" customFormat="false" ht="23.25" hidden="false" customHeight="true" outlineLevel="0" collapsed="false">
      <c r="A35" s="9" t="s">
        <v>311</v>
      </c>
      <c r="B35" s="3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2026-04-24T03:41:46Z</dcterms:created>
  <dc:creator>openpyxl</dc:creator>
  <dc:description/>
  <dc:language>en-US</dc:language>
  <cp:lastModifiedBy>Microsoft Office User</cp:lastModifiedBy>
  <dcterms:modified xsi:type="dcterms:W3CDTF">2026-04-25T15:21:55Z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