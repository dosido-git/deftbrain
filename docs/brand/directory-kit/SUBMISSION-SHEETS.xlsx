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SRsr/Desktop/deftbrain/docs/brand/directory-kit/"/>
    </mc:Choice>
  </mc:AlternateContent>
  <xr:revisionPtr revIDLastSave="0" documentId="13_ncr:1_{487CD8A2-2807-8E4C-872F-C2BEB479A1B8}" xr6:coauthVersionLast="47" xr6:coauthVersionMax="47" xr10:uidLastSave="{00000000-0000-0000-0000-000000000000}"/>
  <bookViews>
    <workbookView xWindow="0" yWindow="760" windowWidth="34560" windowHeight="21580" activeTab="1" xr2:uid="{00000000-000D-0000-FFFF-FFFF00000000}"/>
  </bookViews>
  <sheets>
    <sheet name="README" sheetId="1" r:id="rId1"/>
    <sheet name="Copy Variants" sheetId="2" r:id="rId2"/>
    <sheet name="Product Hunt" sheetId="3" r:id="rId3"/>
    <sheet name="TAAFT" sheetId="4" r:id="rId4"/>
    <sheet name="Futurepedia" sheetId="5" r:id="rId5"/>
    <sheet name="G2" sheetId="8" r:id="rId6"/>
    <sheet name="Capterra" sheetId="9" r:id="rId7"/>
    <sheet name="StackShare" sheetId="10" r:id="rId8"/>
    <sheet name="BetaList" sheetId="11" r:id="rId9"/>
    <sheet name="Toolify.ai" sheetId="12" r:id="rId10"/>
    <sheet name="FutureTools.io" sheetId="13" r:id="rId11"/>
    <sheet name="TopAI.tools" sheetId="14" r:id="rId12"/>
    <sheet name="AI Tool Guru" sheetId="15" r:id="rId13"/>
    <sheet name="AI Tools Directory" sheetId="16" r:id="rId14"/>
    <sheet name="SaaSworthy" sheetId="17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7" l="1"/>
  <c r="D9" i="17"/>
  <c r="D8" i="17"/>
  <c r="D7" i="17"/>
  <c r="D6" i="17"/>
  <c r="D5" i="17"/>
  <c r="D4" i="17"/>
  <c r="D3" i="17"/>
  <c r="D2" i="17"/>
  <c r="D10" i="16"/>
  <c r="D9" i="16"/>
  <c r="D8" i="16"/>
  <c r="D7" i="16"/>
  <c r="D6" i="16"/>
  <c r="D5" i="16"/>
  <c r="D4" i="16"/>
  <c r="D3" i="16"/>
  <c r="D2" i="16"/>
  <c r="D10" i="15"/>
  <c r="D9" i="15"/>
  <c r="D8" i="15"/>
  <c r="D7" i="15"/>
  <c r="D6" i="15"/>
  <c r="D5" i="15"/>
  <c r="D4" i="15"/>
  <c r="D3" i="15"/>
  <c r="D2" i="15"/>
  <c r="D10" i="14"/>
  <c r="D9" i="14"/>
  <c r="D8" i="14"/>
  <c r="D7" i="14"/>
  <c r="D6" i="14"/>
  <c r="D5" i="14"/>
  <c r="D4" i="14"/>
  <c r="D3" i="14"/>
  <c r="D2" i="14"/>
  <c r="D10" i="13"/>
  <c r="D9" i="13"/>
  <c r="D8" i="13"/>
  <c r="D7" i="13"/>
  <c r="D6" i="13"/>
  <c r="D5" i="13"/>
  <c r="D4" i="13"/>
  <c r="D3" i="13"/>
  <c r="D2" i="13"/>
  <c r="D10" i="12"/>
  <c r="D9" i="12"/>
  <c r="D8" i="12"/>
  <c r="D7" i="12"/>
  <c r="D6" i="12"/>
  <c r="D5" i="12"/>
  <c r="D4" i="12"/>
  <c r="D3" i="12"/>
  <c r="D2" i="12"/>
  <c r="D8" i="11"/>
  <c r="D7" i="11"/>
  <c r="D6" i="11"/>
  <c r="D5" i="11"/>
  <c r="D4" i="11"/>
  <c r="D3" i="11"/>
  <c r="D2" i="11"/>
  <c r="D8" i="10"/>
  <c r="D7" i="10"/>
  <c r="D6" i="10"/>
  <c r="D5" i="10"/>
  <c r="D4" i="10"/>
  <c r="D3" i="10"/>
  <c r="D2" i="10"/>
  <c r="D9" i="9"/>
  <c r="D8" i="9"/>
  <c r="D7" i="9"/>
  <c r="D6" i="9"/>
  <c r="D5" i="9"/>
  <c r="D4" i="9"/>
  <c r="D3" i="9"/>
  <c r="D2" i="9"/>
  <c r="D9" i="8"/>
  <c r="D8" i="8"/>
  <c r="D7" i="8"/>
  <c r="D6" i="8"/>
  <c r="D5" i="8"/>
  <c r="D4" i="8"/>
  <c r="D3" i="8"/>
  <c r="D2" i="8"/>
  <c r="D10" i="5"/>
  <c r="D9" i="5"/>
  <c r="D8" i="5"/>
  <c r="D7" i="5"/>
  <c r="D6" i="5"/>
  <c r="D5" i="5"/>
  <c r="D4" i="5"/>
  <c r="D3" i="5"/>
  <c r="D2" i="5"/>
  <c r="D10" i="4"/>
  <c r="D9" i="4"/>
  <c r="D8" i="4"/>
  <c r="D7" i="4"/>
  <c r="D6" i="4"/>
  <c r="D5" i="4"/>
  <c r="D4" i="4"/>
  <c r="D3" i="4"/>
  <c r="D2" i="4"/>
  <c r="D11" i="3"/>
  <c r="D10" i="3"/>
  <c r="D9" i="3"/>
  <c r="D8" i="3"/>
  <c r="D7" i="3"/>
  <c r="D6" i="3"/>
  <c r="D5" i="3"/>
  <c r="D4" i="3"/>
  <c r="D3" i="3"/>
  <c r="D2" i="3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<sst xmlns="http://schemas.openxmlformats.org/spreadsheetml/2006/main" count="452" uniqueCount="106">
  <si>
    <t>DeftBrain — Directory Submission Sheets</t>
  </si>
  <si>
    <t>How to use</t>
  </si>
  <si>
    <t>One sheet per directory. Each row = a form field: its limit, the exact text to paste, and notes. Chars column is =LEN() of the paste text — confirm it is under the limit before pasting.</t>
  </si>
  <si>
    <t>Field limits</t>
  </si>
  <si>
    <t>Limits marked "verify" are best-effort — forms change and most are behind login. If a field is shorter than listed, take the next-shorter variant from the Copy Variants sheet.</t>
  </si>
  <si>
    <t>Order</t>
  </si>
  <si>
    <t>1) SaaSHub (verified — optimize with new assets)  2) TAAFT, Futurepedia, AlternativeTo  3) G2 + Capterra (same Gartner account)  4) StackShare, BetaList (verify fit)  5) Tier-3 bulk sweep  6) Product Hunt LAST.</t>
  </si>
  <si>
    <t>Assets</t>
  </si>
  <si>
    <t>Logo: docs/brand/directory-kit/logo512.png   Screenshots: docs/brand/directory-kit/screenshots/ (01 catalog, 02 tool input, 03 MeetingBSDetector results, 04 QuoteCheck results, 05 alt catalog)</t>
  </si>
  <si>
    <t>Consistency</t>
  </si>
  <si>
    <t>Paste copy verbatim — identical wording across sites strengthens brand-query signals.</t>
  </si>
  <si>
    <t>Variant</t>
  </si>
  <si>
    <t>Text</t>
  </si>
  <si>
    <t>Chars</t>
  </si>
  <si>
    <t>Tagline 40</t>
  </si>
  <si>
    <t>AI problem solvers, no prompting needed.</t>
  </si>
  <si>
    <t>Tagline 42</t>
  </si>
  <si>
    <t>Free AI tools for oddly specific problems.</t>
  </si>
  <si>
    <t>One-liner 58</t>
  </si>
  <si>
    <t>120+ free AI tools for oddly specific real-life problems.</t>
  </si>
  <si>
    <t>One-liner 80</t>
  </si>
  <si>
    <t>120+ free AI micro-tools, each built for one oddly specific real-life problem.</t>
  </si>
  <si>
    <t>Desc ~120</t>
  </si>
  <si>
    <t>One focused AI tool per real-life problem — decode a lease, get a deposit back, calibrate an apology. Free, no signup.</t>
  </si>
  <si>
    <t>Desc ~160</t>
  </si>
  <si>
    <t>120+ small, focused AI tools, each built for one real-life problem: decode a lease, get a deposit back, calibrate an apology. Free, no signup, no prompting.</t>
  </si>
  <si>
    <t>Desc ~260 (Product Hunt)</t>
  </si>
  <si>
    <t>DeftBrain is 120+ small, focused AI tools, each built for one specific real-life problem: decode a lease before signing, get your security deposit back, calibrate an apology, translate what your doctor said. No prompting skills needed. Free, no signup.</t>
  </si>
  <si>
    <t>Desc ~500</t>
  </si>
  <si>
    <t>DeftBrain is a suite of 120+ small, focused AI tools — each built for one specific real-life problem: decode a lease before you sign it, get your security deposit back, calibrate an apology, translate what your doctor said. No prompting skills needed: describe your situation, get a specific answer. Every tool is free with no signup.</t>
  </si>
  <si>
    <t>Long paragraph</t>
  </si>
  <si>
    <t>Personal AI problem solvers for moments too specific or personal for search engines. Most AI tools are generic chatbots trying to do everything. DeftBrain is the opposite: small, focused AI tools, each built for a specific, real problem — not "write me an email," but "how do I get my full security deposit back" or "is this lease going to screw me." Some tools help you understand something confusing: what your doctor actually said, what a contract actually commits you to, whether a product review is real. Others help you say or write something difficult: an apology that doesn't make things worse, a complaint that actually gets a response. A few solve uncommon problems nothing else covers: the word on the tip of your tongue, what to do during a long layover, how to get a fee waived. Every tool is free, no signup required. Paste your situation, get a specific, real answer — not the one your neighbor got.</t>
  </si>
  <si>
    <t>Tags / keywords</t>
  </si>
  <si>
    <t>ai tools, productivity, free, no signup, personal finance, consumer help, writing assistant, life admin, legal help, health</t>
  </si>
  <si>
    <t>Categories</t>
  </si>
  <si>
    <t>Productivity; AI Tools; Utilities; Personal Finance; Communication/Writing; Life Assistance</t>
  </si>
  <si>
    <t>Alternative-to list</t>
  </si>
  <si>
    <t>ChatGPT, Claude, Gemini (no prompting needed — one structured tool per problem); DoNotPay (consumer advocacy, but free); Grammarly (situation-first difficult-message writing)</t>
  </si>
  <si>
    <t>PH first comment</t>
  </si>
  <si>
    <t>Maker here. DeftBrain started from a simple observation: most people don't have a prompting problem, they have a *problem* problem — a lease they don't understand, a deposit they want back, an apology they need to get right. Generic chatbots make you do the work of asking well. So we built 120+ tiny tools that each ask the right questions for exactly one situation and give a specific, structured answer. All free, no signup. If your problem isn't covered, there's a box on the site — describe it and we build fast.</t>
  </si>
  <si>
    <t>Field</t>
  </si>
  <si>
    <t>Limit / requirement</t>
  </si>
  <si>
    <t>Paste this</t>
  </si>
  <si>
    <t>Name</t>
  </si>
  <si>
    <t>—</t>
  </si>
  <si>
    <t>DeftBrain</t>
  </si>
  <si>
    <t>URL</t>
  </si>
  <si>
    <t>https://deftbrain.com</t>
  </si>
  <si>
    <t>Pricing</t>
  </si>
  <si>
    <t>Free (no signup, no paid tier)</t>
  </si>
  <si>
    <t>Logo</t>
  </si>
  <si>
    <t>square PNG</t>
  </si>
  <si>
    <t>docs/brand/directory-kit/logo512.png</t>
  </si>
  <si>
    <t>Screenshots</t>
  </si>
  <si>
    <t>1-5 images</t>
  </si>
  <si>
    <t>docs/brand/directory-kit/screenshots/ (01 catalog, 02 tool input, 03 MeetingBSDetector results, 04 QuoteCheck results, 05 alt catalog)</t>
  </si>
  <si>
    <t>Tagline</t>
  </si>
  <si>
    <t>≤60 chars</t>
  </si>
  <si>
    <t>Description</t>
  </si>
  <si>
    <t>≤260 chars</t>
  </si>
  <si>
    <t>Topics</t>
  </si>
  <si>
    <t>pick 3-4</t>
  </si>
  <si>
    <t>Artificial Intelligence; Productivity; Free tools; Consumer</t>
  </si>
  <si>
    <t>First comment</t>
  </si>
  <si>
    <t>maker comment</t>
  </si>
  <si>
    <t>Gallery</t>
  </si>
  <si>
    <t>≥3 images, 1270×760 ideal</t>
  </si>
  <si>
    <t>Use screenshots 01, 03, 04 (resize/crop to 1270×760)</t>
  </si>
  <si>
    <t>NOTE</t>
  </si>
  <si>
    <t>Launch LAST among Tier 1 (one shot at a good launch day). Tue-Thu 12:01 AM PT is the convention. Line up 3-5 people to try it that morning — no vote-begging.</t>
  </si>
  <si>
    <t>One-line description</t>
  </si>
  <si>
    <t>short — verify on form</t>
  </si>
  <si>
    <t>Full description</t>
  </si>
  <si>
    <t>paragraph</t>
  </si>
  <si>
    <t>Task/category</t>
  </si>
  <si>
    <t>their taxonomy — pick closest</t>
  </si>
  <si>
    <t>Productivity / Life assistant (browse their task list; multi-task tools file under the primary use)</t>
  </si>
  <si>
    <t>Pricing tier</t>
  </si>
  <si>
    <t>select</t>
  </si>
  <si>
    <t>Free</t>
  </si>
  <si>
    <t>There's An AI For That. Submission may involve a review queue or paid fast-track — start with the free queue.</t>
  </si>
  <si>
    <t>Short description</t>
  </si>
  <si>
    <t>~100-150 chars — verify</t>
  </si>
  <si>
    <t>Long description</t>
  </si>
  <si>
    <t>their taxonomy</t>
  </si>
  <si>
    <t>Productivity; AI Assistant</t>
  </si>
  <si>
    <t>Tags</t>
  </si>
  <si>
    <t>keywords</t>
  </si>
  <si>
    <t>short</t>
  </si>
  <si>
    <t>Product category</t>
  </si>
  <si>
    <t>AI Writing Assistant / Productivity Bots (closest fit)</t>
  </si>
  <si>
    <t>~160 chars</t>
  </si>
  <si>
    <t>Claim via Gartner Digital Markets; email/domain verification with hello@deftbrain.com. Free tier is enough to appear in category pages.</t>
  </si>
  <si>
    <t>Category</t>
  </si>
  <si>
    <t>Productivity Software / AI Tools</t>
  </si>
  <si>
    <t>~200 chars — verify</t>
  </si>
  <si>
    <t>Same Gartner account as G2 — do them together.</t>
  </si>
  <si>
    <t>Tool description</t>
  </si>
  <si>
    <t>Application Utilities / AI Tools</t>
  </si>
  <si>
    <t>Lower traffic; dofollow link. Quick add.</t>
  </si>
  <si>
    <t>Pitch</t>
  </si>
  <si>
    <t>VERIFY FIT FIRST — BetaList is for pre-launch/recently-launched startups. Only submit if you can honestly frame DeftBrain as recently launched.</t>
  </si>
  <si>
    <t>verify on form</t>
  </si>
  <si>
    <t>Medium description</t>
  </si>
  <si>
    <t>if offered</t>
  </si>
  <si>
    <t>Tier-3 bulk sweep: standard form, use the variants below; pick the closest category; pricing = Free.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</si>
</sst>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i/>
      <sz val="10"/>
      <color rgb="FF6666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baseColWidth="10" defaultColWidth="8.83203125" defaultRowHeight="15" x14ac:dyDescent="0.2"/>
  <cols>
    <col min="1" max="1" width="16" customWidth="1"/>
    <col min="2" max="2" width="110" customWidth="1"/>
  </cols>
  <sheetData>
    <row r="1" spans="1:2" ht="76" x14ac:dyDescent="0.2">
      <c r="A1" s="1" t="s">
        <v>0</v>
      </c>
      <c r="B1" s="2"/>
    </row>
    <row r="2" spans="1:2" x14ac:dyDescent="0.2">
      <c r="A2" s="2"/>
      <c r="B2" s="2"/>
    </row>
    <row r="3" spans="1:2" ht="30" x14ac:dyDescent="0.2">
      <c r="A3" s="2" t="s">
        <v>1</v>
      </c>
      <c r="B3" s="2" t="s">
        <v>2</v>
      </c>
    </row>
    <row r="4" spans="1:2" ht="30" x14ac:dyDescent="0.2">
      <c r="A4" s="2" t="s">
        <v>3</v>
      </c>
      <c r="B4" s="2" t="s">
        <v>4</v>
      </c>
    </row>
    <row r="5" spans="1:2" ht="30" x14ac:dyDescent="0.2">
      <c r="A5" s="2" t="s">
        <v>5</v>
      </c>
      <c r="B5" s="2" t="s">
        <v>6</v>
      </c>
    </row>
    <row r="6" spans="1:2" ht="30" x14ac:dyDescent="0.2">
      <c r="A6" s="2" t="s">
        <v>7</v>
      </c>
      <c r="B6" s="2" t="s">
        <v>8</v>
      </c>
    </row>
    <row r="7" spans="1:2" x14ac:dyDescent="0.2">
      <c r="A7" s="2" t="s">
        <v>9</v>
      </c>
      <c r="B7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tabSelected="1" workbookViewId="0"/>
  </sheetViews>
  <sheetFormatPr baseColWidth="10" defaultColWidth="8.83203125" defaultRowHeight="15" x14ac:dyDescent="0.2"/>
  <cols>
    <col min="1" max="1" width="26" customWidth="1"/>
    <col min="2" max="2" width="100" customWidth="1"/>
    <col min="3" max="3" width="8" customWidth="1"/>
  </cols>
  <sheetData>
    <row r="1" spans="1:3" x14ac:dyDescent="0.2">
      <c r="A1" s="3" t="s">
        <v>11</v>
      </c>
      <c r="B1" s="3" t="s">
        <v>12</v>
      </c>
      <c r="C1" s="3" t="s">
        <v>13</v>
      </c>
    </row>
    <row r="2" spans="1:3" x14ac:dyDescent="0.2">
      <c r="A2" s="2" t="s">
        <v>14</v>
      </c>
      <c r="B2" s="2" t="s">
        <v>15</v>
      </c>
      <c r="C2" s="2">
        <f t="shared" ref="C2:C14" si="0">LEN(B2)</f>
        <v>40</v>
      </c>
    </row>
    <row r="3" spans="1:3" x14ac:dyDescent="0.2">
      <c r="A3" s="2" t="s">
        <v>16</v>
      </c>
      <c r="B3" s="2" t="s">
        <v>17</v>
      </c>
      <c r="C3" s="2">
        <f t="shared" si="0"/>
        <v>42</v>
      </c>
    </row>
    <row r="4" spans="1:3" x14ac:dyDescent="0.2">
      <c r="A4" s="2" t="s">
        <v>18</v>
      </c>
      <c r="B4" s="2" t="s">
        <v>19</v>
      </c>
      <c r="C4" s="2">
        <f t="shared" si="0"/>
        <v>57</v>
      </c>
    </row>
    <row r="5" spans="1:3" x14ac:dyDescent="0.2">
      <c r="A5" s="2" t="s">
        <v>20</v>
      </c>
      <c r="B5" s="2" t="s">
        <v>21</v>
      </c>
      <c r="C5" s="2">
        <f t="shared" si="0"/>
        <v>78</v>
      </c>
    </row>
    <row r="6" spans="1:3" x14ac:dyDescent="0.2">
      <c r="A6" s="2" t="s">
        <v>22</v>
      </c>
      <c r="B6" s="2" t="s">
        <v>23</v>
      </c>
      <c r="C6" s="2">
        <f t="shared" si="0"/>
        <v>118</v>
      </c>
    </row>
    <row r="7" spans="1:3" ht="30" x14ac:dyDescent="0.2">
      <c r="A7" s="2" t="s">
        <v>24</v>
      </c>
      <c r="B7" s="2" t="s">
        <v>25</v>
      </c>
      <c r="C7" s="2">
        <f t="shared" si="0"/>
        <v>156</v>
      </c>
    </row>
    <row r="8" spans="1:3" ht="45" x14ac:dyDescent="0.2">
      <c r="A8" s="2" t="s">
        <v>26</v>
      </c>
      <c r="B8" s="2" t="s">
        <v>27</v>
      </c>
      <c r="C8" s="2">
        <f t="shared" si="0"/>
        <v>252</v>
      </c>
    </row>
    <row r="9" spans="1:3" ht="45" x14ac:dyDescent="0.2">
      <c r="A9" s="2" t="s">
        <v>28</v>
      </c>
      <c r="B9" s="2" t="s">
        <v>29</v>
      </c>
      <c r="C9" s="2">
        <f t="shared" si="0"/>
        <v>334</v>
      </c>
    </row>
    <row r="10" spans="1:3" ht="120" x14ac:dyDescent="0.2">
      <c r="A10" s="2" t="s">
        <v>30</v>
      </c>
      <c r="B10" s="2" t="s">
        <v>31</v>
      </c>
      <c r="C10" s="2">
        <f t="shared" si="0"/>
        <v>914</v>
      </c>
    </row>
    <row r="11" spans="1:3" x14ac:dyDescent="0.2">
      <c r="A11" s="2" t="s">
        <v>32</v>
      </c>
      <c r="B11" s="2" t="s">
        <v>33</v>
      </c>
      <c r="C11" s="2">
        <f t="shared" si="0"/>
        <v>123</v>
      </c>
    </row>
    <row r="12" spans="1:3" x14ac:dyDescent="0.2">
      <c r="A12" s="2" t="s">
        <v>34</v>
      </c>
      <c r="B12" s="2" t="s">
        <v>35</v>
      </c>
      <c r="C12" s="2">
        <f t="shared" si="0"/>
        <v>91</v>
      </c>
    </row>
    <row r="13" spans="1:3" ht="30" x14ac:dyDescent="0.2">
      <c r="A13" s="2" t="s">
        <v>36</v>
      </c>
      <c r="B13" s="2" t="s">
        <v>37</v>
      </c>
      <c r="C13" s="2">
        <f t="shared" si="0"/>
        <v>174</v>
      </c>
    </row>
    <row r="14" spans="1:3" ht="75" x14ac:dyDescent="0.2">
      <c r="A14" s="2" t="s">
        <v>38</v>
      </c>
      <c r="B14" s="2" t="s">
        <v>39</v>
      </c>
      <c r="C14" s="2">
        <f t="shared" si="0"/>
        <v>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zoomScale="126" workbookViewId="0"/>
  </sheetViews>
  <sheetFormatPr baseColWidth="10" defaultColWidth="8.83203125" defaultRowHeight="15" x14ac:dyDescent="0.2"/>
  <cols>
    <col min="1" max="1" width="22" customWidth="1"/>
    <col min="2" max="2" width="34" customWidth="1"/>
    <col min="3" max="3" width="90" customWidth="1"/>
    <col min="4" max="4" width="8" customWidth="1"/>
  </cols>
  <sheetData>
    <row r="1" spans="1:4" x14ac:dyDescent="0.2">
      <c r="A1" s="3" t="s">
        <v>40</v>
      </c>
      <c r="B1" s="3" t="s">
        <v>41</v>
      </c>
      <c r="C1" s="3" t="s">
        <v>42</v>
      </c>
      <c r="D1" s="3" t="s">
        <v>13</v>
      </c>
    </row>
    <row r="2" spans="1:4" x14ac:dyDescent="0.2">
      <c r="A2" s="2" t="s">
        <v>43</v>
      </c>
      <c r="B2" s="2" t="s">
        <v>44</v>
      </c>
      <c r="C2" s="2" t="s">
        <v>45</v>
      </c>
      <c r="D2" s="2">
        <f t="shared" ref="D2:D11" si="0">LEN(C2)</f>
        <v>9</v>
      </c>
    </row>
    <row r="3" spans="1:4" x14ac:dyDescent="0.2">
      <c r="A3" s="2" t="s">
        <v>46</v>
      </c>
      <c r="B3" s="2" t="s">
        <v>44</v>
      </c>
      <c r="C3" s="2" t="s">
        <v>47</v>
      </c>
      <c r="D3" s="2">
        <f t="shared" si="0"/>
        <v>21</v>
      </c>
    </row>
    <row r="4" spans="1:4" x14ac:dyDescent="0.2">
      <c r="A4" s="2" t="s">
        <v>48</v>
      </c>
      <c r="B4" s="2" t="s">
        <v>44</v>
      </c>
      <c r="C4" s="2" t="s">
        <v>49</v>
      </c>
      <c r="D4" s="2">
        <f t="shared" si="0"/>
        <v>30</v>
      </c>
    </row>
    <row r="5" spans="1:4" x14ac:dyDescent="0.2">
      <c r="A5" s="2" t="s">
        <v>50</v>
      </c>
      <c r="B5" s="2" t="s">
        <v>51</v>
      </c>
      <c r="C5" s="2" t="s">
        <v>52</v>
      </c>
      <c r="D5" s="2">
        <f t="shared" si="0"/>
        <v>36</v>
      </c>
    </row>
    <row r="6" spans="1:4" ht="30" x14ac:dyDescent="0.2">
      <c r="A6" s="2" t="s">
        <v>53</v>
      </c>
      <c r="B6" s="2" t="s">
        <v>54</v>
      </c>
      <c r="C6" s="2" t="s">
        <v>55</v>
      </c>
      <c r="D6" s="2">
        <f t="shared" si="0"/>
        <v>134</v>
      </c>
    </row>
    <row r="7" spans="1:4" x14ac:dyDescent="0.2">
      <c r="A7" s="2" t="s">
        <v>56</v>
      </c>
      <c r="B7" s="2" t="s">
        <v>57</v>
      </c>
      <c r="C7" s="2" t="s">
        <v>19</v>
      </c>
      <c r="D7" s="2">
        <f t="shared" si="0"/>
        <v>57</v>
      </c>
    </row>
    <row r="8" spans="1:4" ht="45" x14ac:dyDescent="0.2">
      <c r="A8" s="2" t="s">
        <v>58</v>
      </c>
      <c r="B8" s="2" t="s">
        <v>59</v>
      </c>
      <c r="C8" s="2" t="s">
        <v>27</v>
      </c>
      <c r="D8" s="2">
        <f t="shared" si="0"/>
        <v>252</v>
      </c>
    </row>
    <row r="9" spans="1:4" x14ac:dyDescent="0.2">
      <c r="A9" s="2" t="s">
        <v>60</v>
      </c>
      <c r="B9" s="2" t="s">
        <v>61</v>
      </c>
      <c r="C9" s="2" t="s">
        <v>62</v>
      </c>
      <c r="D9" s="2">
        <f t="shared" si="0"/>
        <v>59</v>
      </c>
    </row>
    <row r="10" spans="1:4" ht="75" x14ac:dyDescent="0.2">
      <c r="A10" s="2" t="s">
        <v>63</v>
      </c>
      <c r="B10" s="2" t="s">
        <v>64</v>
      </c>
      <c r="C10" s="2" t="s">
        <v>39</v>
      </c>
      <c r="D10" s="2">
        <f t="shared" si="0"/>
        <v>517</v>
      </c>
    </row>
    <row r="11" spans="1:4" x14ac:dyDescent="0.2">
      <c r="A11" s="2" t="s">
        <v>65</v>
      </c>
      <c r="B11" s="2" t="s">
        <v>66</v>
      </c>
      <c r="C11" s="2" t="s">
        <v>67</v>
      </c>
      <c r="D11" s="2">
        <f t="shared" si="0"/>
        <v>52</v>
      </c>
    </row>
    <row r="12" spans="1:4" ht="28" x14ac:dyDescent="0.2">
      <c r="A12" s="4" t="s">
        <v>68</v>
      </c>
      <c r="B12" s="4"/>
      <c r="C12" s="4" t="s">
        <v>69</v>
      </c>
      <c r="D12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baseColWidth="10" defaultColWidth="8.83203125" defaultRowHeight="15" x14ac:dyDescent="0.2"/>
  <cols>
    <col min="1" max="1" width="22" customWidth="1"/>
    <col min="2" max="2" width="34" customWidth="1"/>
    <col min="3" max="3" width="90" customWidth="1"/>
    <col min="4" max="4" width="8" customWidth="1"/>
  </cols>
  <sheetData>
    <row r="1" spans="1:4" x14ac:dyDescent="0.2">
      <c r="A1" s="3" t="s">
        <v>40</v>
      </c>
      <c r="B1" s="3" t="s">
        <v>41</v>
      </c>
      <c r="C1" s="3" t="s">
        <v>42</v>
      </c>
      <c r="D1" s="3" t="s">
        <v>13</v>
      </c>
    </row>
    <row r="2" spans="1:4" x14ac:dyDescent="0.2">
      <c r="A2" s="2" t="s">
        <v>43</v>
      </c>
      <c r="B2" s="2" t="s">
        <v>44</v>
      </c>
      <c r="C2" s="2" t="s">
        <v>45</v>
      </c>
      <c r="D2" s="2">
        <f t="shared" ref="D2:D10" si="0">LEN(C2)</f>
        <v>9</v>
      </c>
    </row>
    <row r="3" spans="1:4" x14ac:dyDescent="0.2">
      <c r="A3" s="2" t="s">
        <v>46</v>
      </c>
      <c r="B3" s="2" t="s">
        <v>44</v>
      </c>
      <c r="C3" s="2" t="s">
        <v>47</v>
      </c>
      <c r="D3" s="2">
        <f t="shared" si="0"/>
        <v>21</v>
      </c>
    </row>
    <row r="4" spans="1:4" x14ac:dyDescent="0.2">
      <c r="A4" s="2" t="s">
        <v>48</v>
      </c>
      <c r="B4" s="2" t="s">
        <v>44</v>
      </c>
      <c r="C4" s="2" t="s">
        <v>49</v>
      </c>
      <c r="D4" s="2">
        <f t="shared" si="0"/>
        <v>30</v>
      </c>
    </row>
    <row r="5" spans="1:4" x14ac:dyDescent="0.2">
      <c r="A5" s="2" t="s">
        <v>50</v>
      </c>
      <c r="B5" s="2" t="s">
        <v>51</v>
      </c>
      <c r="C5" s="2" t="s">
        <v>52</v>
      </c>
      <c r="D5" s="2">
        <f t="shared" si="0"/>
        <v>36</v>
      </c>
    </row>
    <row r="6" spans="1:4" ht="30" x14ac:dyDescent="0.2">
      <c r="A6" s="2" t="s">
        <v>53</v>
      </c>
      <c r="B6" s="2" t="s">
        <v>54</v>
      </c>
      <c r="C6" s="2" t="s">
        <v>55</v>
      </c>
      <c r="D6" s="2">
        <f t="shared" si="0"/>
        <v>134</v>
      </c>
    </row>
    <row r="7" spans="1:4" x14ac:dyDescent="0.2">
      <c r="A7" s="2" t="s">
        <v>70</v>
      </c>
      <c r="B7" s="2" t="s">
        <v>71</v>
      </c>
      <c r="C7" s="2" t="s">
        <v>19</v>
      </c>
      <c r="D7" s="2">
        <f t="shared" si="0"/>
        <v>57</v>
      </c>
    </row>
    <row r="8" spans="1:4" ht="60" x14ac:dyDescent="0.2">
      <c r="A8" s="2" t="s">
        <v>72</v>
      </c>
      <c r="B8" s="2" t="s">
        <v>73</v>
      </c>
      <c r="C8" s="2" t="s">
        <v>29</v>
      </c>
      <c r="D8" s="2">
        <f t="shared" si="0"/>
        <v>334</v>
      </c>
    </row>
    <row r="9" spans="1:4" x14ac:dyDescent="0.2">
      <c r="A9" s="2" t="s">
        <v>74</v>
      </c>
      <c r="B9" s="2" t="s">
        <v>75</v>
      </c>
      <c r="C9" s="2" t="s">
        <v>76</v>
      </c>
      <c r="D9" s="2">
        <f t="shared" si="0"/>
        <v>99</v>
      </c>
    </row>
    <row r="10" spans="1:4" x14ac:dyDescent="0.2">
      <c r="A10" s="2" t="s">
        <v>77</v>
      </c>
      <c r="B10" s="2" t="s">
        <v>78</v>
      </c>
      <c r="C10" s="2" t="s">
        <v>79</v>
      </c>
      <c r="D10" s="2">
        <f t="shared" si="0"/>
        <v>4</v>
      </c>
    </row>
    <row r="11" spans="1:4" x14ac:dyDescent="0.2">
      <c r="A11" s="4" t="s">
        <v>68</v>
      </c>
      <c r="B11" s="4"/>
      <c r="C11" s="4" t="s">
        <v>80</v>
      </c>
      <c r="D11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/>
  </sheetViews>
  <sheetFormatPr baseColWidth="10" defaultColWidth="8.83203125" defaultRowHeight="15" x14ac:dyDescent="0.2"/>
  <cols>
    <col min="1" max="1" width="22" customWidth="1"/>
    <col min="2" max="2" width="34" customWidth="1"/>
    <col min="3" max="3" width="90" customWidth="1"/>
    <col min="4" max="4" width="8" customWidth="1"/>
  </cols>
  <sheetData>
    <row r="1" spans="1:4" x14ac:dyDescent="0.2">
      <c r="A1" s="3" t="s">
        <v>40</v>
      </c>
      <c r="B1" s="3" t="s">
        <v>41</v>
      </c>
      <c r="C1" s="3" t="s">
        <v>42</v>
      </c>
      <c r="D1" s="3" t="s">
        <v>13</v>
      </c>
    </row>
    <row r="2" spans="1:4" x14ac:dyDescent="0.2">
      <c r="A2" s="2" t="s">
        <v>43</v>
      </c>
      <c r="B2" s="2" t="s">
        <v>44</v>
      </c>
      <c r="C2" s="2" t="s">
        <v>45</v>
      </c>
      <c r="D2" s="2">
        <f t="shared" ref="D2:D10" si="0">LEN(C2)</f>
        <v>9</v>
      </c>
    </row>
    <row r="3" spans="1:4" x14ac:dyDescent="0.2">
      <c r="A3" s="2" t="s">
        <v>46</v>
      </c>
      <c r="B3" s="2" t="s">
        <v>44</v>
      </c>
      <c r="C3" s="2" t="s">
        <v>47</v>
      </c>
      <c r="D3" s="2">
        <f t="shared" si="0"/>
        <v>21</v>
      </c>
    </row>
    <row r="4" spans="1:4" x14ac:dyDescent="0.2">
      <c r="A4" s="2" t="s">
        <v>48</v>
      </c>
      <c r="B4" s="2" t="s">
        <v>44</v>
      </c>
      <c r="C4" s="2" t="s">
        <v>49</v>
      </c>
      <c r="D4" s="2">
        <f t="shared" si="0"/>
        <v>30</v>
      </c>
    </row>
    <row r="5" spans="1:4" x14ac:dyDescent="0.2">
      <c r="A5" s="2" t="s">
        <v>50</v>
      </c>
      <c r="B5" s="2" t="s">
        <v>51</v>
      </c>
      <c r="C5" s="2" t="s">
        <v>52</v>
      </c>
      <c r="D5" s="2">
        <f t="shared" si="0"/>
        <v>36</v>
      </c>
    </row>
    <row r="6" spans="1:4" ht="30" x14ac:dyDescent="0.2">
      <c r="A6" s="2" t="s">
        <v>53</v>
      </c>
      <c r="B6" s="2" t="s">
        <v>54</v>
      </c>
      <c r="C6" s="2" t="s">
        <v>55</v>
      </c>
      <c r="D6" s="2">
        <f t="shared" si="0"/>
        <v>134</v>
      </c>
    </row>
    <row r="7" spans="1:4" ht="30" x14ac:dyDescent="0.2">
      <c r="A7" s="2" t="s">
        <v>81</v>
      </c>
      <c r="B7" s="2" t="s">
        <v>82</v>
      </c>
      <c r="C7" s="2" t="s">
        <v>23</v>
      </c>
      <c r="D7" s="2">
        <f t="shared" si="0"/>
        <v>118</v>
      </c>
    </row>
    <row r="8" spans="1:4" ht="60" x14ac:dyDescent="0.2">
      <c r="A8" s="2" t="s">
        <v>83</v>
      </c>
      <c r="B8" s="2" t="s">
        <v>73</v>
      </c>
      <c r="C8" s="2" t="s">
        <v>29</v>
      </c>
      <c r="D8" s="2">
        <f t="shared" si="0"/>
        <v>334</v>
      </c>
    </row>
    <row r="9" spans="1:4" x14ac:dyDescent="0.2">
      <c r="A9" s="2" t="s">
        <v>34</v>
      </c>
      <c r="B9" s="2" t="s">
        <v>84</v>
      </c>
      <c r="C9" s="2" t="s">
        <v>85</v>
      </c>
      <c r="D9" s="2">
        <f t="shared" si="0"/>
        <v>26</v>
      </c>
    </row>
    <row r="10" spans="1:4" x14ac:dyDescent="0.2">
      <c r="A10" s="2" t="s">
        <v>48</v>
      </c>
      <c r="B10" s="2" t="s">
        <v>78</v>
      </c>
      <c r="C10" s="2" t="s">
        <v>79</v>
      </c>
      <c r="D10" s="2">
        <f t="shared" si="0"/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topLeftCell="A2" workbookViewId="0"/>
  </sheetViews>
  <sheetFormatPr baseColWidth="10" defaultColWidth="8.83203125" defaultRowHeight="15" x14ac:dyDescent="0.2"/>
  <cols>
    <col min="1" max="1" width="22" customWidth="1"/>
    <col min="2" max="2" width="34" customWidth="1"/>
    <col min="3" max="3" width="90" customWidth="1"/>
    <col min="4" max="4" width="8" customWidth="1"/>
  </cols>
  <sheetData>
    <row r="1" spans="1:4" x14ac:dyDescent="0.2">
      <c r="A1" s="3" t="s">
        <v>40</v>
      </c>
      <c r="B1" s="3" t="s">
        <v>41</v>
      </c>
      <c r="C1" s="3" t="s">
        <v>42</v>
      </c>
      <c r="D1" s="3" t="s">
        <v>13</v>
      </c>
    </row>
    <row r="2" spans="1:4" x14ac:dyDescent="0.2">
      <c r="A2" s="2" t="s">
        <v>43</v>
      </c>
      <c r="B2" s="2" t="s">
        <v>44</v>
      </c>
      <c r="C2" s="2" t="s">
        <v>45</v>
      </c>
      <c r="D2" s="2">
        <f t="shared" ref="D2:D9" si="0">LEN(C2)</f>
        <v>9</v>
      </c>
    </row>
    <row r="3" spans="1:4" x14ac:dyDescent="0.2">
      <c r="A3" s="2" t="s">
        <v>46</v>
      </c>
      <c r="B3" s="2" t="s">
        <v>44</v>
      </c>
      <c r="C3" s="2" t="s">
        <v>47</v>
      </c>
      <c r="D3" s="2">
        <f t="shared" si="0"/>
        <v>21</v>
      </c>
    </row>
    <row r="4" spans="1:4" x14ac:dyDescent="0.2">
      <c r="A4" s="2" t="s">
        <v>48</v>
      </c>
      <c r="B4" s="2" t="s">
        <v>44</v>
      </c>
      <c r="C4" s="2" t="s">
        <v>49</v>
      </c>
      <c r="D4" s="2">
        <f t="shared" si="0"/>
        <v>30</v>
      </c>
    </row>
    <row r="5" spans="1:4" x14ac:dyDescent="0.2">
      <c r="A5" s="2" t="s">
        <v>50</v>
      </c>
      <c r="B5" s="2" t="s">
        <v>51</v>
      </c>
      <c r="C5" s="2" t="s">
        <v>52</v>
      </c>
      <c r="D5" s="2">
        <f t="shared" si="0"/>
        <v>36</v>
      </c>
    </row>
    <row r="6" spans="1:4" ht="30" x14ac:dyDescent="0.2">
      <c r="A6" s="2" t="s">
        <v>53</v>
      </c>
      <c r="B6" s="2" t="s">
        <v>54</v>
      </c>
      <c r="C6" s="2" t="s">
        <v>55</v>
      </c>
      <c r="D6" s="2">
        <f t="shared" si="0"/>
        <v>134</v>
      </c>
    </row>
    <row r="7" spans="1:4" x14ac:dyDescent="0.2">
      <c r="A7" s="2" t="s">
        <v>89</v>
      </c>
      <c r="B7" s="2" t="s">
        <v>84</v>
      </c>
      <c r="C7" s="2" t="s">
        <v>90</v>
      </c>
      <c r="D7" s="2">
        <f t="shared" si="0"/>
        <v>54</v>
      </c>
    </row>
    <row r="8" spans="1:4" ht="30" x14ac:dyDescent="0.2">
      <c r="A8" s="2" t="s">
        <v>81</v>
      </c>
      <c r="B8" s="2" t="s">
        <v>91</v>
      </c>
      <c r="C8" s="2" t="s">
        <v>25</v>
      </c>
      <c r="D8" s="2">
        <f t="shared" si="0"/>
        <v>156</v>
      </c>
    </row>
    <row r="9" spans="1:4" ht="135" x14ac:dyDescent="0.2">
      <c r="A9" s="2" t="s">
        <v>83</v>
      </c>
      <c r="B9" s="2" t="s">
        <v>73</v>
      </c>
      <c r="C9" s="2" t="s">
        <v>31</v>
      </c>
      <c r="D9" s="2">
        <f t="shared" si="0"/>
        <v>914</v>
      </c>
    </row>
    <row r="10" spans="1:4" ht="28" x14ac:dyDescent="0.2">
      <c r="A10" s="4" t="s">
        <v>68</v>
      </c>
      <c r="B10" s="4"/>
      <c r="C10" s="4" t="s">
        <v>92</v>
      </c>
      <c r="D10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workbookViewId="0"/>
  </sheetViews>
  <sheetFormatPr baseColWidth="10" defaultColWidth="8.83203125" defaultRowHeight="15" x14ac:dyDescent="0.2"/>
  <cols>
    <col min="1" max="1" width="22" customWidth="1"/>
    <col min="2" max="2" width="34" customWidth="1"/>
    <col min="3" max="3" width="90" customWidth="1"/>
    <col min="4" max="4" width="8" customWidth="1"/>
  </cols>
  <sheetData>
    <row r="1" spans="1:4" x14ac:dyDescent="0.2">
      <c r="A1" s="3" t="s">
        <v>40</v>
      </c>
      <c r="B1" s="3" t="s">
        <v>41</v>
      </c>
      <c r="C1" s="3" t="s">
        <v>42</v>
      </c>
      <c r="D1" s="3" t="s">
        <v>13</v>
      </c>
    </row>
    <row r="2" spans="1:4" x14ac:dyDescent="0.2">
      <c r="A2" s="2" t="s">
        <v>43</v>
      </c>
      <c r="B2" s="2" t="s">
        <v>44</v>
      </c>
      <c r="C2" s="2" t="s">
        <v>45</v>
      </c>
      <c r="D2" s="2">
        <f t="shared" ref="D2:D9" si="0">LEN(C2)</f>
        <v>9</v>
      </c>
    </row>
    <row r="3" spans="1:4" x14ac:dyDescent="0.2">
      <c r="A3" s="2" t="s">
        <v>46</v>
      </c>
      <c r="B3" s="2" t="s">
        <v>44</v>
      </c>
      <c r="C3" s="2" t="s">
        <v>47</v>
      </c>
      <c r="D3" s="2">
        <f t="shared" si="0"/>
        <v>21</v>
      </c>
    </row>
    <row r="4" spans="1:4" x14ac:dyDescent="0.2">
      <c r="A4" s="2" t="s">
        <v>48</v>
      </c>
      <c r="B4" s="2" t="s">
        <v>44</v>
      </c>
      <c r="C4" s="2" t="s">
        <v>49</v>
      </c>
      <c r="D4" s="2">
        <f t="shared" si="0"/>
        <v>30</v>
      </c>
    </row>
    <row r="5" spans="1:4" x14ac:dyDescent="0.2">
      <c r="A5" s="2" t="s">
        <v>50</v>
      </c>
      <c r="B5" s="2" t="s">
        <v>51</v>
      </c>
      <c r="C5" s="2" t="s">
        <v>52</v>
      </c>
      <c r="D5" s="2">
        <f t="shared" si="0"/>
        <v>36</v>
      </c>
    </row>
    <row r="6" spans="1:4" ht="30" x14ac:dyDescent="0.2">
      <c r="A6" s="2" t="s">
        <v>53</v>
      </c>
      <c r="B6" s="2" t="s">
        <v>54</v>
      </c>
      <c r="C6" s="2" t="s">
        <v>55</v>
      </c>
      <c r="D6" s="2">
        <f t="shared" si="0"/>
        <v>134</v>
      </c>
    </row>
    <row r="7" spans="1:4" x14ac:dyDescent="0.2">
      <c r="A7" s="2" t="s">
        <v>93</v>
      </c>
      <c r="B7" s="2" t="s">
        <v>84</v>
      </c>
      <c r="C7" s="2" t="s">
        <v>94</v>
      </c>
      <c r="D7" s="2">
        <f t="shared" si="0"/>
        <v>32</v>
      </c>
    </row>
    <row r="8" spans="1:4" ht="30" x14ac:dyDescent="0.2">
      <c r="A8" s="2" t="s">
        <v>81</v>
      </c>
      <c r="B8" s="2" t="s">
        <v>95</v>
      </c>
      <c r="C8" s="2" t="s">
        <v>25</v>
      </c>
      <c r="D8" s="2">
        <f t="shared" si="0"/>
        <v>156</v>
      </c>
    </row>
    <row r="9" spans="1:4" ht="135" x14ac:dyDescent="0.2">
      <c r="A9" s="2" t="s">
        <v>83</v>
      </c>
      <c r="B9" s="2" t="s">
        <v>73</v>
      </c>
      <c r="C9" s="2" t="s">
        <v>31</v>
      </c>
      <c r="D9" s="2">
        <f t="shared" si="0"/>
        <v>914</v>
      </c>
    </row>
    <row r="10" spans="1:4" x14ac:dyDescent="0.2">
      <c r="A10" s="4" t="s">
        <v>68</v>
      </c>
      <c r="B10" s="4"/>
      <c r="C10" s="4" t="s">
        <v>96</v>
      </c>
      <c r="D10" s="4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"/>
  <sheetViews>
    <sheetView workbookViewId="0"/>
  </sheetViews>
  <sheetFormatPr baseColWidth="10" defaultColWidth="8.83203125" defaultRowHeight="15" x14ac:dyDescent="0.2"/>
  <cols>
    <col min="1" max="1" width="22" customWidth="1"/>
    <col min="2" max="2" width="34" customWidth="1"/>
    <col min="3" max="3" width="90" customWidth="1"/>
    <col min="4" max="4" width="8" customWidth="1"/>
  </cols>
  <sheetData>
    <row r="1" spans="1:4" x14ac:dyDescent="0.2">
      <c r="A1" s="3" t="s">
        <v>40</v>
      </c>
      <c r="B1" s="3" t="s">
        <v>41</v>
      </c>
      <c r="C1" s="3" t="s">
        <v>42</v>
      </c>
      <c r="D1" s="3" t="s">
        <v>13</v>
      </c>
    </row>
    <row r="2" spans="1:4" x14ac:dyDescent="0.2">
      <c r="A2" s="2" t="s">
        <v>43</v>
      </c>
      <c r="B2" s="2" t="s">
        <v>44</v>
      </c>
      <c r="C2" s="2" t="s">
        <v>45</v>
      </c>
      <c r="D2" s="2">
        <f t="shared" ref="D2:D8" si="0">LEN(C2)</f>
        <v>9</v>
      </c>
    </row>
    <row r="3" spans="1:4" x14ac:dyDescent="0.2">
      <c r="A3" s="2" t="s">
        <v>46</v>
      </c>
      <c r="B3" s="2" t="s">
        <v>44</v>
      </c>
      <c r="C3" s="2" t="s">
        <v>47</v>
      </c>
      <c r="D3" s="2">
        <f t="shared" si="0"/>
        <v>21</v>
      </c>
    </row>
    <row r="4" spans="1:4" x14ac:dyDescent="0.2">
      <c r="A4" s="2" t="s">
        <v>48</v>
      </c>
      <c r="B4" s="2" t="s">
        <v>44</v>
      </c>
      <c r="C4" s="2" t="s">
        <v>49</v>
      </c>
      <c r="D4" s="2">
        <f t="shared" si="0"/>
        <v>30</v>
      </c>
    </row>
    <row r="5" spans="1:4" x14ac:dyDescent="0.2">
      <c r="A5" s="2" t="s">
        <v>50</v>
      </c>
      <c r="B5" s="2" t="s">
        <v>51</v>
      </c>
      <c r="C5" s="2" t="s">
        <v>52</v>
      </c>
      <c r="D5" s="2">
        <f t="shared" si="0"/>
        <v>36</v>
      </c>
    </row>
    <row r="6" spans="1:4" ht="30" x14ac:dyDescent="0.2">
      <c r="A6" s="2" t="s">
        <v>53</v>
      </c>
      <c r="B6" s="2" t="s">
        <v>54</v>
      </c>
      <c r="C6" s="2" t="s">
        <v>55</v>
      </c>
      <c r="D6" s="2">
        <f t="shared" si="0"/>
        <v>134</v>
      </c>
    </row>
    <row r="7" spans="1:4" ht="30" x14ac:dyDescent="0.2">
      <c r="A7" s="2" t="s">
        <v>97</v>
      </c>
      <c r="B7" s="2" t="s">
        <v>88</v>
      </c>
      <c r="C7" s="2" t="s">
        <v>25</v>
      </c>
      <c r="D7" s="2">
        <f t="shared" si="0"/>
        <v>156</v>
      </c>
    </row>
    <row r="8" spans="1:4" x14ac:dyDescent="0.2">
      <c r="A8" s="2" t="s">
        <v>93</v>
      </c>
      <c r="B8" s="2" t="s">
        <v>84</v>
      </c>
      <c r="C8" s="2" t="s">
        <v>98</v>
      </c>
      <c r="D8" s="2">
        <f t="shared" si="0"/>
        <v>32</v>
      </c>
    </row>
    <row r="9" spans="1:4" x14ac:dyDescent="0.2">
      <c r="A9" s="4" t="s">
        <v>68</v>
      </c>
      <c r="B9" s="4"/>
      <c r="C9" s="4" t="s">
        <v>99</v>
      </c>
      <c r="D9" s="4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9"/>
  <sheetViews>
    <sheetView workbookViewId="0"/>
  </sheetViews>
  <sheetFormatPr baseColWidth="10" defaultColWidth="8.83203125" defaultRowHeight="15" x14ac:dyDescent="0.2"/>
  <cols>
    <col min="1" max="1" width="22" customWidth="1"/>
    <col min="2" max="2" width="34" customWidth="1"/>
    <col min="3" max="3" width="90" customWidth="1"/>
    <col min="4" max="4" width="8" customWidth="1"/>
  </cols>
  <sheetData>
    <row r="1" spans="1:4" x14ac:dyDescent="0.2">
      <c r="A1" s="3" t="s">
        <v>40</v>
      </c>
      <c r="B1" s="3" t="s">
        <v>41</v>
      </c>
      <c r="C1" s="3" t="s">
        <v>42</v>
      </c>
      <c r="D1" s="3" t="s">
        <v>13</v>
      </c>
    </row>
    <row r="2" spans="1:4" x14ac:dyDescent="0.2">
      <c r="A2" s="2" t="s">
        <v>43</v>
      </c>
      <c r="B2" s="2" t="s">
        <v>44</v>
      </c>
      <c r="C2" s="2" t="s">
        <v>45</v>
      </c>
      <c r="D2" s="2">
        <f t="shared" ref="D2:D8" si="0">LEN(C2)</f>
        <v>9</v>
      </c>
    </row>
    <row r="3" spans="1:4" x14ac:dyDescent="0.2">
      <c r="A3" s="2" t="s">
        <v>46</v>
      </c>
      <c r="B3" s="2" t="s">
        <v>44</v>
      </c>
      <c r="C3" s="2" t="s">
        <v>47</v>
      </c>
      <c r="D3" s="2">
        <f t="shared" si="0"/>
        <v>21</v>
      </c>
    </row>
    <row r="4" spans="1:4" x14ac:dyDescent="0.2">
      <c r="A4" s="2" t="s">
        <v>48</v>
      </c>
      <c r="B4" s="2" t="s">
        <v>44</v>
      </c>
      <c r="C4" s="2" t="s">
        <v>49</v>
      </c>
      <c r="D4" s="2">
        <f t="shared" si="0"/>
        <v>30</v>
      </c>
    </row>
    <row r="5" spans="1:4" x14ac:dyDescent="0.2">
      <c r="A5" s="2" t="s">
        <v>50</v>
      </c>
      <c r="B5" s="2" t="s">
        <v>51</v>
      </c>
      <c r="C5" s="2" t="s">
        <v>52</v>
      </c>
      <c r="D5" s="2">
        <f t="shared" si="0"/>
        <v>36</v>
      </c>
    </row>
    <row r="6" spans="1:4" ht="30" x14ac:dyDescent="0.2">
      <c r="A6" s="2" t="s">
        <v>53</v>
      </c>
      <c r="B6" s="2" t="s">
        <v>54</v>
      </c>
      <c r="C6" s="2" t="s">
        <v>55</v>
      </c>
      <c r="D6" s="2">
        <f t="shared" si="0"/>
        <v>134</v>
      </c>
    </row>
    <row r="7" spans="1:4" x14ac:dyDescent="0.2">
      <c r="A7" s="2" t="s">
        <v>100</v>
      </c>
      <c r="B7" s="2" t="s">
        <v>88</v>
      </c>
      <c r="C7" s="2" t="s">
        <v>21</v>
      </c>
      <c r="D7" s="2">
        <f t="shared" si="0"/>
        <v>78</v>
      </c>
    </row>
    <row r="8" spans="1:4" ht="60" x14ac:dyDescent="0.2">
      <c r="A8" s="2" t="s">
        <v>58</v>
      </c>
      <c r="B8" s="2" t="s">
        <v>73</v>
      </c>
      <c r="C8" s="2" t="s">
        <v>29</v>
      </c>
      <c r="D8" s="2">
        <f t="shared" si="0"/>
        <v>334</v>
      </c>
    </row>
    <row r="9" spans="1:4" ht="28" x14ac:dyDescent="0.2">
      <c r="A9" s="4" t="s">
        <v>68</v>
      </c>
      <c r="B9" s="4"/>
      <c r="C9" s="4" t="s">
        <v>101</v>
      </c>
      <c r="D9" s="4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1"/>
  <sheetViews>
    <sheetView workbookViewId="0"/>
  </sheetViews>
  <sheetFormatPr baseColWidth="10" defaultColWidth="8.83203125" defaultRowHeight="15" x14ac:dyDescent="0.2"/>
  <cols>
    <col min="1" max="1" width="22" customWidth="1"/>
    <col min="2" max="2" width="34" customWidth="1"/>
    <col min="3" max="3" width="90" customWidth="1"/>
    <col min="4" max="4" width="8" customWidth="1"/>
  </cols>
  <sheetData>
    <row r="1" spans="1:4" x14ac:dyDescent="0.2">
      <c r="A1" s="3" t="s">
        <v>40</v>
      </c>
      <c r="B1" s="3" t="s">
        <v>41</v>
      </c>
      <c r="C1" s="3" t="s">
        <v>42</v>
      </c>
      <c r="D1" s="3" t="s">
        <v>13</v>
      </c>
    </row>
    <row r="2" spans="1:4" x14ac:dyDescent="0.2">
      <c r="A2" s="2" t="s">
        <v>43</v>
      </c>
      <c r="B2" s="2" t="s">
        <v>44</v>
      </c>
      <c r="C2" s="2" t="s">
        <v>45</v>
      </c>
      <c r="D2" s="2">
        <f t="shared" ref="D2:D10" si="0">LEN(C2)</f>
        <v>9</v>
      </c>
    </row>
    <row r="3" spans="1:4" x14ac:dyDescent="0.2">
      <c r="A3" s="2" t="s">
        <v>46</v>
      </c>
      <c r="B3" s="2" t="s">
        <v>44</v>
      </c>
      <c r="C3" s="2" t="s">
        <v>47</v>
      </c>
      <c r="D3" s="2">
        <f t="shared" si="0"/>
        <v>21</v>
      </c>
    </row>
    <row r="4" spans="1:4" x14ac:dyDescent="0.2">
      <c r="A4" s="2" t="s">
        <v>48</v>
      </c>
      <c r="B4" s="2" t="s">
        <v>44</v>
      </c>
      <c r="C4" s="2" t="s">
        <v>49</v>
      </c>
      <c r="D4" s="2">
        <f t="shared" si="0"/>
        <v>30</v>
      </c>
    </row>
    <row r="5" spans="1:4" x14ac:dyDescent="0.2">
      <c r="A5" s="2" t="s">
        <v>50</v>
      </c>
      <c r="B5" s="2" t="s">
        <v>51</v>
      </c>
      <c r="C5" s="2" t="s">
        <v>52</v>
      </c>
      <c r="D5" s="2">
        <f t="shared" si="0"/>
        <v>36</v>
      </c>
    </row>
    <row r="6" spans="1:4" ht="30" x14ac:dyDescent="0.2">
      <c r="A6" s="2" t="s">
        <v>53</v>
      </c>
      <c r="B6" s="2" t="s">
        <v>54</v>
      </c>
      <c r="C6" s="2" t="s">
        <v>55</v>
      </c>
      <c r="D6" s="2">
        <f t="shared" si="0"/>
        <v>134</v>
      </c>
    </row>
    <row r="7" spans="1:4" x14ac:dyDescent="0.2">
      <c r="A7" s="2" t="s">
        <v>81</v>
      </c>
      <c r="B7" s="2" t="s">
        <v>102</v>
      </c>
      <c r="C7" s="2" t="s">
        <v>19</v>
      </c>
      <c r="D7" s="2">
        <f t="shared" si="0"/>
        <v>57</v>
      </c>
    </row>
    <row r="8" spans="1:4" ht="45" x14ac:dyDescent="0.2">
      <c r="A8" s="2" t="s">
        <v>103</v>
      </c>
      <c r="B8" s="2" t="s">
        <v>102</v>
      </c>
      <c r="C8" s="2" t="s">
        <v>27</v>
      </c>
      <c r="D8" s="2">
        <f t="shared" si="0"/>
        <v>252</v>
      </c>
    </row>
    <row r="9" spans="1:4" ht="60" x14ac:dyDescent="0.2">
      <c r="A9" s="2" t="s">
        <v>83</v>
      </c>
      <c r="B9" s="2" t="s">
        <v>104</v>
      </c>
      <c r="C9" s="2" t="s">
        <v>29</v>
      </c>
      <c r="D9" s="2">
        <f t="shared" si="0"/>
        <v>334</v>
      </c>
    </row>
    <row r="10" spans="1:4" ht="30" x14ac:dyDescent="0.2">
      <c r="A10" s="2" t="s">
        <v>86</v>
      </c>
      <c r="B10" s="2" t="s">
        <v>87</v>
      </c>
      <c r="C10" s="2" t="s">
        <v>33</v>
      </c>
      <c r="D10" s="2">
        <f t="shared" si="0"/>
        <v>123</v>
      </c>
    </row>
    <row r="11" spans="1:4" x14ac:dyDescent="0.2">
      <c r="A11" s="4" t="s">
        <v>68</v>
      </c>
      <c r="B11" s="4"/>
      <c r="C11" s="4" t="s">
        <v>105</v>
      </c>
      <c r="D11" s="4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1"/>
  <sheetViews>
    <sheetView workbookViewId="0"/>
  </sheetViews>
  <sheetFormatPr baseColWidth="10" defaultColWidth="8.83203125" defaultRowHeight="15" x14ac:dyDescent="0.2"/>
  <cols>
    <col min="1" max="1" width="22" customWidth="1"/>
    <col min="2" max="2" width="34" customWidth="1"/>
    <col min="3" max="3" width="90" customWidth="1"/>
    <col min="4" max="4" width="8" customWidth="1"/>
  </cols>
  <sheetData>
    <row r="1" spans="1:4" x14ac:dyDescent="0.2">
      <c r="A1" s="3" t="s">
        <v>40</v>
      </c>
      <c r="B1" s="3" t="s">
        <v>41</v>
      </c>
      <c r="C1" s="3" t="s">
        <v>42</v>
      </c>
      <c r="D1" s="3" t="s">
        <v>13</v>
      </c>
    </row>
    <row r="2" spans="1:4" x14ac:dyDescent="0.2">
      <c r="A2" s="2" t="s">
        <v>43</v>
      </c>
      <c r="B2" s="2" t="s">
        <v>44</v>
      </c>
      <c r="C2" s="2" t="s">
        <v>45</v>
      </c>
      <c r="D2" s="2">
        <f t="shared" ref="D2:D10" si="0">LEN(C2)</f>
        <v>9</v>
      </c>
    </row>
    <row r="3" spans="1:4" x14ac:dyDescent="0.2">
      <c r="A3" s="2" t="s">
        <v>46</v>
      </c>
      <c r="B3" s="2" t="s">
        <v>44</v>
      </c>
      <c r="C3" s="2" t="s">
        <v>47</v>
      </c>
      <c r="D3" s="2">
        <f t="shared" si="0"/>
        <v>21</v>
      </c>
    </row>
    <row r="4" spans="1:4" x14ac:dyDescent="0.2">
      <c r="A4" s="2" t="s">
        <v>48</v>
      </c>
      <c r="B4" s="2" t="s">
        <v>44</v>
      </c>
      <c r="C4" s="2" t="s">
        <v>49</v>
      </c>
      <c r="D4" s="2">
        <f t="shared" si="0"/>
        <v>30</v>
      </c>
    </row>
    <row r="5" spans="1:4" x14ac:dyDescent="0.2">
      <c r="A5" s="2" t="s">
        <v>50</v>
      </c>
      <c r="B5" s="2" t="s">
        <v>51</v>
      </c>
      <c r="C5" s="2" t="s">
        <v>52</v>
      </c>
      <c r="D5" s="2">
        <f t="shared" si="0"/>
        <v>36</v>
      </c>
    </row>
    <row r="6" spans="1:4" ht="30" x14ac:dyDescent="0.2">
      <c r="A6" s="2" t="s">
        <v>53</v>
      </c>
      <c r="B6" s="2" t="s">
        <v>54</v>
      </c>
      <c r="C6" s="2" t="s">
        <v>55</v>
      </c>
      <c r="D6" s="2">
        <f t="shared" si="0"/>
        <v>134</v>
      </c>
    </row>
    <row r="7" spans="1:4" x14ac:dyDescent="0.2">
      <c r="A7" s="2" t="s">
        <v>81</v>
      </c>
      <c r="B7" s="2" t="s">
        <v>102</v>
      </c>
      <c r="C7" s="2" t="s">
        <v>19</v>
      </c>
      <c r="D7" s="2">
        <f t="shared" si="0"/>
        <v>57</v>
      </c>
    </row>
    <row r="8" spans="1:4" ht="45" x14ac:dyDescent="0.2">
      <c r="A8" s="2" t="s">
        <v>103</v>
      </c>
      <c r="B8" s="2" t="s">
        <v>102</v>
      </c>
      <c r="C8" s="2" t="s">
        <v>27</v>
      </c>
      <c r="D8" s="2">
        <f t="shared" si="0"/>
        <v>252</v>
      </c>
    </row>
    <row r="9" spans="1:4" ht="60" x14ac:dyDescent="0.2">
      <c r="A9" s="2" t="s">
        <v>83</v>
      </c>
      <c r="B9" s="2" t="s">
        <v>104</v>
      </c>
      <c r="C9" s="2" t="s">
        <v>29</v>
      </c>
      <c r="D9" s="2">
        <f t="shared" si="0"/>
        <v>334</v>
      </c>
    </row>
    <row r="10" spans="1:4" ht="30" x14ac:dyDescent="0.2">
      <c r="A10" s="2" t="s">
        <v>86</v>
      </c>
      <c r="B10" s="2" t="s">
        <v>87</v>
      </c>
      <c r="C10" s="2" t="s">
        <v>33</v>
      </c>
      <c r="D10" s="2">
        <f t="shared" si="0"/>
        <v>123</v>
      </c>
    </row>
    <row r="11" spans="1:4" x14ac:dyDescent="0.2">
      <c r="A11" s="4" t="s">
        <v>68</v>
      </c>
      <c r="B11" s="4"/>
      <c r="C11" s="4" t="s">
        <v>105</v>
      </c>
      <c r="D11" s="4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1"/>
  <sheetViews>
    <sheetView workbookViewId="0"/>
  </sheetViews>
  <sheetFormatPr baseColWidth="10" defaultColWidth="8.83203125" defaultRowHeight="15" x14ac:dyDescent="0.2"/>
  <cols>
    <col min="1" max="1" width="22" customWidth="1"/>
    <col min="2" max="2" width="34" customWidth="1"/>
    <col min="3" max="3" width="90" customWidth="1"/>
    <col min="4" max="4" width="8" customWidth="1"/>
  </cols>
  <sheetData>
    <row r="1" spans="1:4" x14ac:dyDescent="0.2">
      <c r="A1" s="3" t="s">
        <v>40</v>
      </c>
      <c r="B1" s="3" t="s">
        <v>41</v>
      </c>
      <c r="C1" s="3" t="s">
        <v>42</v>
      </c>
      <c r="D1" s="3" t="s">
        <v>13</v>
      </c>
    </row>
    <row r="2" spans="1:4" x14ac:dyDescent="0.2">
      <c r="A2" s="2" t="s">
        <v>43</v>
      </c>
      <c r="B2" s="2" t="s">
        <v>44</v>
      </c>
      <c r="C2" s="2" t="s">
        <v>45</v>
      </c>
      <c r="D2" s="2">
        <f t="shared" ref="D2:D10" si="0">LEN(C2)</f>
        <v>9</v>
      </c>
    </row>
    <row r="3" spans="1:4" x14ac:dyDescent="0.2">
      <c r="A3" s="2" t="s">
        <v>46</v>
      </c>
      <c r="B3" s="2" t="s">
        <v>44</v>
      </c>
      <c r="C3" s="2" t="s">
        <v>47</v>
      </c>
      <c r="D3" s="2">
        <f t="shared" si="0"/>
        <v>21</v>
      </c>
    </row>
    <row r="4" spans="1:4" x14ac:dyDescent="0.2">
      <c r="A4" s="2" t="s">
        <v>48</v>
      </c>
      <c r="B4" s="2" t="s">
        <v>44</v>
      </c>
      <c r="C4" s="2" t="s">
        <v>49</v>
      </c>
      <c r="D4" s="2">
        <f t="shared" si="0"/>
        <v>30</v>
      </c>
    </row>
    <row r="5" spans="1:4" x14ac:dyDescent="0.2">
      <c r="A5" s="2" t="s">
        <v>50</v>
      </c>
      <c r="B5" s="2" t="s">
        <v>51</v>
      </c>
      <c r="C5" s="2" t="s">
        <v>52</v>
      </c>
      <c r="D5" s="2">
        <f t="shared" si="0"/>
        <v>36</v>
      </c>
    </row>
    <row r="6" spans="1:4" ht="30" x14ac:dyDescent="0.2">
      <c r="A6" s="2" t="s">
        <v>53</v>
      </c>
      <c r="B6" s="2" t="s">
        <v>54</v>
      </c>
      <c r="C6" s="2" t="s">
        <v>55</v>
      </c>
      <c r="D6" s="2">
        <f t="shared" si="0"/>
        <v>134</v>
      </c>
    </row>
    <row r="7" spans="1:4" x14ac:dyDescent="0.2">
      <c r="A7" s="2" t="s">
        <v>81</v>
      </c>
      <c r="B7" s="2" t="s">
        <v>102</v>
      </c>
      <c r="C7" s="2" t="s">
        <v>19</v>
      </c>
      <c r="D7" s="2">
        <f t="shared" si="0"/>
        <v>57</v>
      </c>
    </row>
    <row r="8" spans="1:4" ht="45" x14ac:dyDescent="0.2">
      <c r="A8" s="2" t="s">
        <v>103</v>
      </c>
      <c r="B8" s="2" t="s">
        <v>102</v>
      </c>
      <c r="C8" s="2" t="s">
        <v>27</v>
      </c>
      <c r="D8" s="2">
        <f t="shared" si="0"/>
        <v>252</v>
      </c>
    </row>
    <row r="9" spans="1:4" ht="60" x14ac:dyDescent="0.2">
      <c r="A9" s="2" t="s">
        <v>83</v>
      </c>
      <c r="B9" s="2" t="s">
        <v>104</v>
      </c>
      <c r="C9" s="2" t="s">
        <v>29</v>
      </c>
      <c r="D9" s="2">
        <f t="shared" si="0"/>
        <v>334</v>
      </c>
    </row>
    <row r="10" spans="1:4" ht="30" x14ac:dyDescent="0.2">
      <c r="A10" s="2" t="s">
        <v>86</v>
      </c>
      <c r="B10" s="2" t="s">
        <v>87</v>
      </c>
      <c r="C10" s="2" t="s">
        <v>33</v>
      </c>
      <c r="D10" s="2">
        <f t="shared" si="0"/>
        <v>123</v>
      </c>
    </row>
    <row r="11" spans="1:4" x14ac:dyDescent="0.2">
      <c r="A11" s="4" t="s">
        <v>68</v>
      </c>
      <c r="B11" s="4"/>
      <c r="C11" s="4" t="s">
        <v>105</v>
      </c>
      <c r="D11" s="4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1"/>
  <sheetViews>
    <sheetView workbookViewId="0"/>
  </sheetViews>
  <sheetFormatPr baseColWidth="10" defaultColWidth="8.83203125" defaultRowHeight="15" x14ac:dyDescent="0.2"/>
  <cols>
    <col min="1" max="1" width="22" customWidth="1"/>
    <col min="2" max="2" width="34" customWidth="1"/>
    <col min="3" max="3" width="90" customWidth="1"/>
    <col min="4" max="4" width="8" customWidth="1"/>
  </cols>
  <sheetData>
    <row r="1" spans="1:4" x14ac:dyDescent="0.2">
      <c r="A1" s="3" t="s">
        <v>40</v>
      </c>
      <c r="B1" s="3" t="s">
        <v>41</v>
      </c>
      <c r="C1" s="3" t="s">
        <v>42</v>
      </c>
      <c r="D1" s="3" t="s">
        <v>13</v>
      </c>
    </row>
    <row r="2" spans="1:4" x14ac:dyDescent="0.2">
      <c r="A2" s="2" t="s">
        <v>43</v>
      </c>
      <c r="B2" s="2" t="s">
        <v>44</v>
      </c>
      <c r="C2" s="2" t="s">
        <v>45</v>
      </c>
      <c r="D2" s="2">
        <f t="shared" ref="D2:D10" si="0">LEN(C2)</f>
        <v>9</v>
      </c>
    </row>
    <row r="3" spans="1:4" x14ac:dyDescent="0.2">
      <c r="A3" s="2" t="s">
        <v>46</v>
      </c>
      <c r="B3" s="2" t="s">
        <v>44</v>
      </c>
      <c r="C3" s="2" t="s">
        <v>47</v>
      </c>
      <c r="D3" s="2">
        <f t="shared" si="0"/>
        <v>21</v>
      </c>
    </row>
    <row r="4" spans="1:4" x14ac:dyDescent="0.2">
      <c r="A4" s="2" t="s">
        <v>48</v>
      </c>
      <c r="B4" s="2" t="s">
        <v>44</v>
      </c>
      <c r="C4" s="2" t="s">
        <v>49</v>
      </c>
      <c r="D4" s="2">
        <f t="shared" si="0"/>
        <v>30</v>
      </c>
    </row>
    <row r="5" spans="1:4" x14ac:dyDescent="0.2">
      <c r="A5" s="2" t="s">
        <v>50</v>
      </c>
      <c r="B5" s="2" t="s">
        <v>51</v>
      </c>
      <c r="C5" s="2" t="s">
        <v>52</v>
      </c>
      <c r="D5" s="2">
        <f t="shared" si="0"/>
        <v>36</v>
      </c>
    </row>
    <row r="6" spans="1:4" ht="30" x14ac:dyDescent="0.2">
      <c r="A6" s="2" t="s">
        <v>53</v>
      </c>
      <c r="B6" s="2" t="s">
        <v>54</v>
      </c>
      <c r="C6" s="2" t="s">
        <v>55</v>
      </c>
      <c r="D6" s="2">
        <f t="shared" si="0"/>
        <v>134</v>
      </c>
    </row>
    <row r="7" spans="1:4" x14ac:dyDescent="0.2">
      <c r="A7" s="2" t="s">
        <v>81</v>
      </c>
      <c r="B7" s="2" t="s">
        <v>102</v>
      </c>
      <c r="C7" s="2" t="s">
        <v>19</v>
      </c>
      <c r="D7" s="2">
        <f t="shared" si="0"/>
        <v>57</v>
      </c>
    </row>
    <row r="8" spans="1:4" ht="45" x14ac:dyDescent="0.2">
      <c r="A8" s="2" t="s">
        <v>103</v>
      </c>
      <c r="B8" s="2" t="s">
        <v>102</v>
      </c>
      <c r="C8" s="2" t="s">
        <v>27</v>
      </c>
      <c r="D8" s="2">
        <f t="shared" si="0"/>
        <v>252</v>
      </c>
    </row>
    <row r="9" spans="1:4" ht="60" x14ac:dyDescent="0.2">
      <c r="A9" s="2" t="s">
        <v>83</v>
      </c>
      <c r="B9" s="2" t="s">
        <v>104</v>
      </c>
      <c r="C9" s="2" t="s">
        <v>29</v>
      </c>
      <c r="D9" s="2">
        <f t="shared" si="0"/>
        <v>334</v>
      </c>
    </row>
    <row r="10" spans="1:4" ht="30" x14ac:dyDescent="0.2">
      <c r="A10" s="2" t="s">
        <v>86</v>
      </c>
      <c r="B10" s="2" t="s">
        <v>87</v>
      </c>
      <c r="C10" s="2" t="s">
        <v>33</v>
      </c>
      <c r="D10" s="2">
        <f t="shared" si="0"/>
        <v>123</v>
      </c>
    </row>
    <row r="11" spans="1:4" x14ac:dyDescent="0.2">
      <c r="A11" s="4" t="s">
        <v>68</v>
      </c>
      <c r="B11" s="4"/>
      <c r="C11" s="4" t="s">
        <v>105</v>
      </c>
      <c r="D11" s="4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1"/>
  <sheetViews>
    <sheetView workbookViewId="0"/>
  </sheetViews>
  <sheetFormatPr baseColWidth="10" defaultColWidth="8.83203125" defaultRowHeight="15" x14ac:dyDescent="0.2"/>
  <cols>
    <col min="1" max="1" width="22" customWidth="1"/>
    <col min="2" max="2" width="34" customWidth="1"/>
    <col min="3" max="3" width="90" customWidth="1"/>
    <col min="4" max="4" width="8" customWidth="1"/>
  </cols>
  <sheetData>
    <row r="1" spans="1:4" x14ac:dyDescent="0.2">
      <c r="A1" s="3" t="s">
        <v>40</v>
      </c>
      <c r="B1" s="3" t="s">
        <v>41</v>
      </c>
      <c r="C1" s="3" t="s">
        <v>42</v>
      </c>
      <c r="D1" s="3" t="s">
        <v>13</v>
      </c>
    </row>
    <row r="2" spans="1:4" x14ac:dyDescent="0.2">
      <c r="A2" s="2" t="s">
        <v>43</v>
      </c>
      <c r="B2" s="2" t="s">
        <v>44</v>
      </c>
      <c r="C2" s="2" t="s">
        <v>45</v>
      </c>
      <c r="D2" s="2">
        <f t="shared" ref="D2:D10" si="0">LEN(C2)</f>
        <v>9</v>
      </c>
    </row>
    <row r="3" spans="1:4" x14ac:dyDescent="0.2">
      <c r="A3" s="2" t="s">
        <v>46</v>
      </c>
      <c r="B3" s="2" t="s">
        <v>44</v>
      </c>
      <c r="C3" s="2" t="s">
        <v>47</v>
      </c>
      <c r="D3" s="2">
        <f t="shared" si="0"/>
        <v>21</v>
      </c>
    </row>
    <row r="4" spans="1:4" x14ac:dyDescent="0.2">
      <c r="A4" s="2" t="s">
        <v>48</v>
      </c>
      <c r="B4" s="2" t="s">
        <v>44</v>
      </c>
      <c r="C4" s="2" t="s">
        <v>49</v>
      </c>
      <c r="D4" s="2">
        <f t="shared" si="0"/>
        <v>30</v>
      </c>
    </row>
    <row r="5" spans="1:4" x14ac:dyDescent="0.2">
      <c r="A5" s="2" t="s">
        <v>50</v>
      </c>
      <c r="B5" s="2" t="s">
        <v>51</v>
      </c>
      <c r="C5" s="2" t="s">
        <v>52</v>
      </c>
      <c r="D5" s="2">
        <f t="shared" si="0"/>
        <v>36</v>
      </c>
    </row>
    <row r="6" spans="1:4" ht="30" x14ac:dyDescent="0.2">
      <c r="A6" s="2" t="s">
        <v>53</v>
      </c>
      <c r="B6" s="2" t="s">
        <v>54</v>
      </c>
      <c r="C6" s="2" t="s">
        <v>55</v>
      </c>
      <c r="D6" s="2">
        <f t="shared" si="0"/>
        <v>134</v>
      </c>
    </row>
    <row r="7" spans="1:4" x14ac:dyDescent="0.2">
      <c r="A7" s="2" t="s">
        <v>81</v>
      </c>
      <c r="B7" s="2" t="s">
        <v>102</v>
      </c>
      <c r="C7" s="2" t="s">
        <v>19</v>
      </c>
      <c r="D7" s="2">
        <f t="shared" si="0"/>
        <v>57</v>
      </c>
    </row>
    <row r="8" spans="1:4" ht="45" x14ac:dyDescent="0.2">
      <c r="A8" s="2" t="s">
        <v>103</v>
      </c>
      <c r="B8" s="2" t="s">
        <v>102</v>
      </c>
      <c r="C8" s="2" t="s">
        <v>27</v>
      </c>
      <c r="D8" s="2">
        <f t="shared" si="0"/>
        <v>252</v>
      </c>
    </row>
    <row r="9" spans="1:4" ht="60" x14ac:dyDescent="0.2">
      <c r="A9" s="2" t="s">
        <v>83</v>
      </c>
      <c r="B9" s="2" t="s">
        <v>104</v>
      </c>
      <c r="C9" s="2" t="s">
        <v>29</v>
      </c>
      <c r="D9" s="2">
        <f t="shared" si="0"/>
        <v>334</v>
      </c>
    </row>
    <row r="10" spans="1:4" ht="30" x14ac:dyDescent="0.2">
      <c r="A10" s="2" t="s">
        <v>86</v>
      </c>
      <c r="B10" s="2" t="s">
        <v>87</v>
      </c>
      <c r="C10" s="2" t="s">
        <v>33</v>
      </c>
      <c r="D10" s="2">
        <f t="shared" si="0"/>
        <v>123</v>
      </c>
    </row>
    <row r="11" spans="1:4" x14ac:dyDescent="0.2">
      <c r="A11" s="4" t="s">
        <v>68</v>
      </c>
      <c r="B11" s="4"/>
      <c r="C11" s="4" t="s">
        <v>105</v>
      </c>
      <c r="D11" s="4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1"/>
  <sheetViews>
    <sheetView workbookViewId="0"/>
  </sheetViews>
  <sheetFormatPr baseColWidth="10" defaultColWidth="8.83203125" defaultRowHeight="15" x14ac:dyDescent="0.2"/>
  <cols>
    <col min="1" max="1" width="22" customWidth="1"/>
    <col min="2" max="2" width="34" customWidth="1"/>
    <col min="3" max="3" width="90" customWidth="1"/>
    <col min="4" max="4" width="8" customWidth="1"/>
  </cols>
  <sheetData>
    <row r="1" spans="1:4" x14ac:dyDescent="0.2">
      <c r="A1" s="3" t="s">
        <v>40</v>
      </c>
      <c r="B1" s="3" t="s">
        <v>41</v>
      </c>
      <c r="C1" s="3" t="s">
        <v>42</v>
      </c>
      <c r="D1" s="3" t="s">
        <v>13</v>
      </c>
    </row>
    <row r="2" spans="1:4" x14ac:dyDescent="0.2">
      <c r="A2" s="2" t="s">
        <v>43</v>
      </c>
      <c r="B2" s="2" t="s">
        <v>44</v>
      </c>
      <c r="C2" s="2" t="s">
        <v>45</v>
      </c>
      <c r="D2" s="2">
        <f t="shared" ref="D2:D10" si="0">LEN(C2)</f>
        <v>9</v>
      </c>
    </row>
    <row r="3" spans="1:4" x14ac:dyDescent="0.2">
      <c r="A3" s="2" t="s">
        <v>46</v>
      </c>
      <c r="B3" s="2" t="s">
        <v>44</v>
      </c>
      <c r="C3" s="2" t="s">
        <v>47</v>
      </c>
      <c r="D3" s="2">
        <f t="shared" si="0"/>
        <v>21</v>
      </c>
    </row>
    <row r="4" spans="1:4" x14ac:dyDescent="0.2">
      <c r="A4" s="2" t="s">
        <v>48</v>
      </c>
      <c r="B4" s="2" t="s">
        <v>44</v>
      </c>
      <c r="C4" s="2" t="s">
        <v>49</v>
      </c>
      <c r="D4" s="2">
        <f t="shared" si="0"/>
        <v>30</v>
      </c>
    </row>
    <row r="5" spans="1:4" x14ac:dyDescent="0.2">
      <c r="A5" s="2" t="s">
        <v>50</v>
      </c>
      <c r="B5" s="2" t="s">
        <v>51</v>
      </c>
      <c r="C5" s="2" t="s">
        <v>52</v>
      </c>
      <c r="D5" s="2">
        <f t="shared" si="0"/>
        <v>36</v>
      </c>
    </row>
    <row r="6" spans="1:4" ht="30" x14ac:dyDescent="0.2">
      <c r="A6" s="2" t="s">
        <v>53</v>
      </c>
      <c r="B6" s="2" t="s">
        <v>54</v>
      </c>
      <c r="C6" s="2" t="s">
        <v>55</v>
      </c>
      <c r="D6" s="2">
        <f t="shared" si="0"/>
        <v>134</v>
      </c>
    </row>
    <row r="7" spans="1:4" x14ac:dyDescent="0.2">
      <c r="A7" s="2" t="s">
        <v>81</v>
      </c>
      <c r="B7" s="2" t="s">
        <v>102</v>
      </c>
      <c r="C7" s="2" t="s">
        <v>19</v>
      </c>
      <c r="D7" s="2">
        <f t="shared" si="0"/>
        <v>57</v>
      </c>
    </row>
    <row r="8" spans="1:4" ht="45" x14ac:dyDescent="0.2">
      <c r="A8" s="2" t="s">
        <v>103</v>
      </c>
      <c r="B8" s="2" t="s">
        <v>102</v>
      </c>
      <c r="C8" s="2" t="s">
        <v>27</v>
      </c>
      <c r="D8" s="2">
        <f t="shared" si="0"/>
        <v>252</v>
      </c>
    </row>
    <row r="9" spans="1:4" ht="60" x14ac:dyDescent="0.2">
      <c r="A9" s="2" t="s">
        <v>83</v>
      </c>
      <c r="B9" s="2" t="s">
        <v>104</v>
      </c>
      <c r="C9" s="2" t="s">
        <v>29</v>
      </c>
      <c r="D9" s="2">
        <f t="shared" si="0"/>
        <v>334</v>
      </c>
    </row>
    <row r="10" spans="1:4" ht="30" x14ac:dyDescent="0.2">
      <c r="A10" s="2" t="s">
        <v>86</v>
      </c>
      <c r="B10" s="2" t="s">
        <v>87</v>
      </c>
      <c r="C10" s="2" t="s">
        <v>33</v>
      </c>
      <c r="D10" s="2">
        <f t="shared" si="0"/>
        <v>123</v>
      </c>
    </row>
    <row r="11" spans="1:4" x14ac:dyDescent="0.2">
      <c r="A11" s="4" t="s">
        <v>68</v>
      </c>
      <c r="B11" s="4"/>
      <c r="C11" s="4" t="s">
        <v>105</v>
      </c>
      <c r="D1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Copy Variants</vt:lpstr>
      <vt:lpstr>Product Hunt</vt:lpstr>
      <vt:lpstr>TAAFT</vt:lpstr>
      <vt:lpstr>Futurepedia</vt:lpstr>
      <vt:lpstr>G2</vt:lpstr>
      <vt:lpstr>Capterra</vt:lpstr>
      <vt:lpstr>StackShare</vt:lpstr>
      <vt:lpstr>BetaList</vt:lpstr>
      <vt:lpstr>Toolify.ai</vt:lpstr>
      <vt:lpstr>FutureTools.io</vt:lpstr>
      <vt:lpstr>TopAI.tools</vt:lpstr>
      <vt:lpstr>AI Tool Guru</vt:lpstr>
      <vt:lpstr>AI Tools Directory</vt:lpstr>
      <vt:lpstr>SaaSworthy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2026-07-20T05:49:07Z</dcterms:created>
  <dcterms:modified xsi:type="dcterms:W3CDTF">2026-08-04T03:28:01Z</dcterms:modified>
</cp:coreProperties>
</file>